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 Calculator" sheetId="1" state="visible" r:id="rId3"/>
    <sheet name="Expense Tracker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<sst xmlns="http://schemas.openxmlformats.org/spreadsheetml/2006/main" count="149" uniqueCount="115">
  <si>
    <t xml:space="preserve">AEC  |  MULTI-REGION VAT CALCULATOR</t>
  </si>
  <si>
    <t xml:space="preserve">AFRIQUEEUROPECONNEXIONVMETC  ·  Kraków · Douala · Abuja</t>
  </si>
  <si>
    <t xml:space="preserve">🇵🇱  POLAND — JPK V7 VAT</t>
  </si>
  <si>
    <t xml:space="preserve">🌍  OHADA — Cameroon / CEMAC VAT</t>
  </si>
  <si>
    <t xml:space="preserve">Net Amount (PLN)</t>
  </si>
  <si>
    <t xml:space="preserve">Net Amount (XAF)</t>
  </si>
  <si>
    <t xml:space="preserve">VAT Rate</t>
  </si>
  <si>
    <t xml:space="preserve">VAT Amount</t>
  </si>
  <si>
    <t xml:space="preserve">Gross Amount</t>
  </si>
  <si>
    <t xml:space="preserve">Poland VAT Rate Reference</t>
  </si>
  <si>
    <t xml:space="preserve">OHADA Rate Reference</t>
  </si>
  <si>
    <t xml:space="preserve">Standard (23%)</t>
  </si>
  <si>
    <t xml:space="preserve">→ Enter in B6</t>
  </si>
  <si>
    <t xml:space="preserve">Standard (19.25%)</t>
  </si>
  <si>
    <t xml:space="preserve">Reduced (8%)</t>
  </si>
  <si>
    <t xml:space="preserve">Tourism (11.11%)</t>
  </si>
  <si>
    <t xml:space="preserve">Super-reduced (5%)</t>
  </si>
  <si>
    <t xml:space="preserve">Exempt (0%)</t>
  </si>
  <si>
    <t xml:space="preserve">Zero (0%)</t>
  </si>
  <si>
    <t xml:space="preserve">🇳🇬  NIGERIA — FIRS VAT (VAITA 2019, 7.5%)</t>
  </si>
  <si>
    <t xml:space="preserve">🇪🇺  EU — GENERAL VAT CALCULATOR</t>
  </si>
  <si>
    <t xml:space="preserve">Net Amount (NGN)</t>
  </si>
  <si>
    <t xml:space="preserve">Nigeria FIRS VAT = 7.5%
VAITA 2019 rate.
Basic food, medical, educational
services are exempt.
File monthly via FIRS e-Services.</t>
  </si>
  <si>
    <t xml:space="preserve">Net Amount (EUR)</t>
  </si>
  <si>
    <t xml:space="preserve">EU Country Reference Rates</t>
  </si>
  <si>
    <t xml:space="preserve">Germany 19%</t>
  </si>
  <si>
    <t xml:space="preserve">France 20%</t>
  </si>
  <si>
    <t xml:space="preserve">Italy 22%</t>
  </si>
  <si>
    <t xml:space="preserve">Belgium 21%</t>
  </si>
  <si>
    <t xml:space="preserve">💱  CURRENCY QUICK CONVERTER  (update blue rate cells weekly)</t>
  </si>
  <si>
    <t xml:space="preserve">Currency</t>
  </si>
  <si>
    <t xml:space="preserve">Amount</t>
  </si>
  <si>
    <t xml:space="preserve">→ EUR</t>
  </si>
  <si>
    <t xml:space="preserve">→ PLN</t>
  </si>
  <si>
    <t xml:space="preserve">→ XAF</t>
  </si>
  <si>
    <t xml:space="preserve">→ NGN</t>
  </si>
  <si>
    <t xml:space="preserve">EUR Result</t>
  </si>
  <si>
    <t xml:space="preserve">PLN Result</t>
  </si>
  <si>
    <t xml:space="preserve">EUR</t>
  </si>
  <si>
    <t xml:space="preserve">PLN</t>
  </si>
  <si>
    <t xml:space="preserve">XAF</t>
  </si>
  <si>
    <t xml:space="preserve">NGN</t>
  </si>
  <si>
    <t xml:space="preserve">ℹ  BLUE cells = editable inputs  |  BLACK cells = auto-calculated  |  Update currency rates from ECB / FIRS / BEAC official sources</t>
  </si>
  <si>
    <t xml:space="preserve">AEC  |  BUSINESS EXPENSE TRACKER</t>
  </si>
  <si>
    <t xml:space="preserve">AFRIQUEEUROPECONNEXIONVMETC — Monthly Business Expense Log</t>
  </si>
  <si>
    <t xml:space="preserve">MONTHLY SUMMARY  (auto-updates from entries below)</t>
  </si>
  <si>
    <t xml:space="preserve">TOTALS →</t>
  </si>
  <si>
    <t xml:space="preserve">Total Net</t>
  </si>
  <si>
    <t xml:space="preserve">Total VAT</t>
  </si>
  <si>
    <t xml:space="preserve">Total Gross</t>
  </si>
  <si>
    <t xml:space="preserve">Travel</t>
  </si>
  <si>
    <t xml:space="preserve">Software/IT</t>
  </si>
  <si>
    <t xml:space="preserve">Consulting</t>
  </si>
  <si>
    <t xml:space="preserve">Other</t>
  </si>
  <si>
    <t xml:space="preserve">Monthly Budget</t>
  </si>
  <si>
    <t xml:space="preserve">Variance</t>
  </si>
  <si>
    <t xml:space="preserve">EXPENSE ENTRIES — enter data in blue rows below</t>
  </si>
  <si>
    <t xml:space="preserve">#</t>
  </si>
  <si>
    <t xml:space="preserve">Date</t>
  </si>
  <si>
    <t xml:space="preserve">Category</t>
  </si>
  <si>
    <t xml:space="preserve">Vendor / Supplier</t>
  </si>
  <si>
    <t xml:space="preserve">Country</t>
  </si>
  <si>
    <t xml:space="preserve">Net Amount</t>
  </si>
  <si>
    <t xml:space="preserve">VAT %</t>
  </si>
  <si>
    <t xml:space="preserve">Description</t>
  </si>
  <si>
    <t xml:space="preserve">Receipt?</t>
  </si>
  <si>
    <t xml:space="preserve">2025-01-05</t>
  </si>
  <si>
    <t xml:space="preserve">LOT Polish Airlines</t>
  </si>
  <si>
    <t xml:space="preserve">Poland</t>
  </si>
  <si>
    <t xml:space="preserve">Sample — Travel</t>
  </si>
  <si>
    <t xml:space="preserve">Yes</t>
  </si>
  <si>
    <t xml:space="preserve">2025-01-08</t>
  </si>
  <si>
    <t xml:space="preserve">Microsoft Azure</t>
  </si>
  <si>
    <t xml:space="preserve">Sample — Software/IT</t>
  </si>
  <si>
    <t xml:space="preserve">2025-01-12</t>
  </si>
  <si>
    <t xml:space="preserve">Legal Advisory Sp.</t>
  </si>
  <si>
    <t xml:space="preserve">Sample — Consulting</t>
  </si>
  <si>
    <t xml:space="preserve">2025-01-15</t>
  </si>
  <si>
    <t xml:space="preserve">Marketing</t>
  </si>
  <si>
    <t xml:space="preserve">Google Ads</t>
  </si>
  <si>
    <t xml:space="preserve">Sample — Marketing</t>
  </si>
  <si>
    <t xml:space="preserve">2025-01-20</t>
  </si>
  <si>
    <t xml:space="preserve">Tax &amp; Compliance</t>
  </si>
  <si>
    <t xml:space="preserve">OHADA Filing</t>
  </si>
  <si>
    <t xml:space="preserve">Cameroon</t>
  </si>
  <si>
    <t xml:space="preserve">Sample — Tax &amp; Compliance</t>
  </si>
  <si>
    <t xml:space="preserve">AEC  |  EXPENSE DASHBOARD</t>
  </si>
  <si>
    <t xml:space="preserve">Auto-updated — all data pulls from Expense Tracker sheet</t>
  </si>
  <si>
    <t xml:space="preserve">KEY PERFORMANCE INDICATORS</t>
  </si>
  <si>
    <t xml:space="preserve">Total Gross Spend</t>
  </si>
  <si>
    <t xml:space="preserve">Net Spend</t>
  </si>
  <si>
    <t xml:space="preserve">Budget Remaining</t>
  </si>
  <si>
    <t xml:space="preserve">Travel Costs</t>
  </si>
  <si>
    <t xml:space="preserve">Software / IT</t>
  </si>
  <si>
    <t xml:space="preserve">SPEND BY CATEGORY</t>
  </si>
  <si>
    <t xml:space="preserve">SPEND BY COUNTRY</t>
  </si>
  <si>
    <t xml:space="preserve">Nigeria</t>
  </si>
  <si>
    <t xml:space="preserve">France</t>
  </si>
  <si>
    <t xml:space="preserve">Payroll</t>
  </si>
  <si>
    <t xml:space="preserve">Germany</t>
  </si>
  <si>
    <t xml:space="preserve">Rent/Utilities</t>
  </si>
  <si>
    <t xml:space="preserve">Belgium</t>
  </si>
  <si>
    <t xml:space="preserve">Legal</t>
  </si>
  <si>
    <t xml:space="preserve">UK</t>
  </si>
  <si>
    <t xml:space="preserve">HOW TO USE THIS WORKBOOK</t>
  </si>
  <si>
    <t xml:space="preserve">1. VAT Calculator</t>
  </si>
  <si>
    <t xml:space="preserve">Enter net amounts &amp; select region. Copy VAT amounts to Expense Tracker.</t>
  </si>
  <si>
    <t xml:space="preserve">2. Expense Tracker</t>
  </si>
  <si>
    <t xml:space="preserve">Enter each expense. Pick category &amp; country from dropdowns. Gross auto-calculates.</t>
  </si>
  <si>
    <t xml:space="preserve">3. Dashboard</t>
  </si>
  <si>
    <t xml:space="preserve">All KPIs update automatically — no manual entry here.</t>
  </si>
  <si>
    <t xml:space="preserve">4. Blue cells</t>
  </si>
  <si>
    <t xml:space="preserve">Input fields to edit.  Black cells = auto-calculated formulas.  Yellow = set your budget.</t>
  </si>
  <si>
    <t xml:space="preserve">5. Export</t>
  </si>
  <si>
    <t xml:space="preserve">File → Export → PDF or CSV to send to accountant / tax authority.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</si>
</sst>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&quot; PLN&quot;"/>
    <numFmt numFmtId="166" formatCode="#,##0&quot; XAF&quot;"/>
    <numFmt numFmtId="167" formatCode="0%"/>
    <numFmt numFmtId="168" formatCode="0.00%"/>
    <numFmt numFmtId="169" formatCode="#,##0&quot; ₦&quot;"/>
    <numFmt numFmtId="170" formatCode="#,##0.00&quot; €&quot;"/>
    <numFmt numFmtId="171" formatCode="0.0%"/>
    <numFmt numFmtId="172" formatCode="#,##0.00"/>
    <numFmt numFmtId="173" formatCode="0.0000"/>
    <numFmt numFmtId="174" formatCode="#,##0.00&quot; zł&quot;"/>
    <numFmt numFmtId="175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E8B85A"/>
      <name val="Times New Roman"/>
      <family val="0"/>
      <charset val="1"/>
    </font>
    <font>
      <sz val="10"/>
      <color rgb="FFC9963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0"/>
      <color rgb="FF0B1535"/>
      <name val="Times New Roman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0B153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3"/>
      <color rgb="FF0B153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1535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B1535"/>
        <bgColor rgb="FF000000"/>
      </patternFill>
    </fill>
    <fill>
      <patternFill patternType="solid">
        <fgColor rgb="FF1A3A6B"/>
        <bgColor rgb="FF003399"/>
      </patternFill>
    </fill>
    <fill>
      <patternFill patternType="solid">
        <fgColor rgb="FFEEF2FF"/>
        <bgColor rgb="FFF4F6FA"/>
      </patternFill>
    </fill>
    <fill>
      <patternFill patternType="solid">
        <fgColor rgb="FFF4F6FA"/>
        <bgColor rgb="FFFAFAFA"/>
      </patternFill>
    </fill>
    <fill>
      <patternFill patternType="solid">
        <fgColor rgb="FFC9963C"/>
        <bgColor rgb="FFE8B85A"/>
      </patternFill>
    </fill>
    <fill>
      <patternFill patternType="solid">
        <fgColor rgb="FF00C2A8"/>
        <bgColor rgb="FF33CCCC"/>
      </patternFill>
    </fill>
    <fill>
      <patternFill patternType="solid">
        <fgColor rgb="FF006400"/>
        <bgColor rgb="FF333300"/>
      </patternFill>
    </fill>
    <fill>
      <patternFill patternType="solid">
        <fgColor rgb="FF003399"/>
        <bgColor rgb="FF1A3A6B"/>
      </patternFill>
    </fill>
    <fill>
      <patternFill patternType="solid">
        <fgColor rgb="FFF0FFF0"/>
        <bgColor rgb="FFFAFAFA"/>
      </patternFill>
    </fill>
    <fill>
      <patternFill patternType="solid">
        <fgColor rgb="FFD9DCE6"/>
        <bgColor rgb="FFCCCCCC"/>
      </patternFill>
    </fill>
    <fill>
      <patternFill patternType="solid">
        <fgColor rgb="FFFFFDE7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4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CE6"/>
      </bottom>
      <diagonal/>
    </border>
    <border diagonalUp="false" diagonalDown="false">
      <left/>
      <right/>
      <top/>
      <bottom style="medium">
        <color rgb="FFC996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2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9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F0FFF0"/>
      <rgbColor rgb="FF660066"/>
      <rgbColor rgb="FFFF8080"/>
      <rgbColor rgb="FF0066CC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A8"/>
      <rgbColor rgb="FFEEF2FF"/>
      <rgbColor rgb="FFF4F6FA"/>
      <rgbColor rgb="FFFAFAFA"/>
      <rgbColor rgb="FF99CCFF"/>
      <rgbColor rgb="FFFF99CC"/>
      <rgbColor rgb="FFCC99FF"/>
      <rgbColor rgb="FFE8B85A"/>
      <rgbColor rgb="FF3366FF"/>
      <rgbColor rgb="FF33CCCC"/>
      <rgbColor rgb="FF99CC00"/>
      <rgbColor rgb="FFFFCC00"/>
      <rgbColor rgb="FFC9963C"/>
      <rgbColor rgb="FFFF6600"/>
      <rgbColor rgb="FF666666"/>
      <rgbColor rgb="FF999999"/>
      <rgbColor rgb="FF1A3A6B"/>
      <rgbColor rgb="FF339966"/>
      <rgbColor rgb="FF0B1535"/>
      <rgbColor rgb="FF333300"/>
      <rgbColor rgb="FF993300"/>
      <rgbColor rgb="FF993366"/>
      <rgbColor rgb="FF00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5" t="s">
        <v>3</v>
      </c>
      <c r="F4" s="5"/>
      <c r="G4" s="5"/>
      <c r="H4" s="5"/>
    </row>
    <row r="5" customFormat="false" ht="19.5" hidden="false" customHeight="true" outlineLevel="0" collapsed="false">
      <c r="A5" s="6" t="s">
        <v>4</v>
      </c>
      <c r="B5" s="7" t="n">
        <v>1000</v>
      </c>
      <c r="E5" s="6" t="s">
        <v>5</v>
      </c>
      <c r="F5" s="8" t="n">
        <v>500000</v>
      </c>
    </row>
    <row r="6" customFormat="false" ht="19.5" hidden="false" customHeight="true" outlineLevel="0" collapsed="false">
      <c r="A6" s="6" t="s">
        <v>6</v>
      </c>
      <c r="B6" s="9" t="n">
        <v>0.23</v>
      </c>
      <c r="E6" s="6" t="s">
        <v>6</v>
      </c>
      <c r="F6" s="10" t="n">
        <v>0.1925</v>
      </c>
    </row>
    <row r="7" customFormat="false" ht="19.5" hidden="false" customHeight="true" outlineLevel="0" collapsed="false">
      <c r="A7" s="6" t="s">
        <v>7</v>
      </c>
      <c r="B7" s="11" t="n">
        <f aca="false">B5*B6</f>
        <v>230</v>
      </c>
      <c r="E7" s="6" t="s">
        <v>7</v>
      </c>
      <c r="F7" s="12" t="n">
        <f aca="false">F5*F6</f>
        <v>96250</v>
      </c>
    </row>
    <row r="8" customFormat="false" ht="19.5" hidden="false" customHeight="true" outlineLevel="0" collapsed="false">
      <c r="A8" s="6" t="s">
        <v>8</v>
      </c>
      <c r="B8" s="11" t="n">
        <f aca="false">B5+B7</f>
        <v>1230</v>
      </c>
      <c r="E8" s="6" t="s">
        <v>8</v>
      </c>
      <c r="F8" s="12" t="n">
        <f aca="false">F5+F7</f>
        <v>596250</v>
      </c>
    </row>
    <row r="9" customFormat="false" ht="21.75" hidden="false" customHeight="true" outlineLevel="0" collapsed="false">
      <c r="A9" s="13" t="s">
        <v>9</v>
      </c>
      <c r="B9" s="13"/>
      <c r="C9" s="13"/>
      <c r="D9" s="13"/>
      <c r="E9" s="14" t="s">
        <v>10</v>
      </c>
      <c r="F9" s="14"/>
      <c r="G9" s="14"/>
      <c r="H9" s="14"/>
    </row>
    <row r="10" customFormat="false" ht="15" hidden="false" customHeight="true" outlineLevel="0" collapsed="false">
      <c r="A10" s="15" t="s">
        <v>11</v>
      </c>
      <c r="B10" s="16" t="n">
        <v>0.23</v>
      </c>
      <c r="C10" s="17" t="s">
        <v>12</v>
      </c>
      <c r="D10" s="18"/>
      <c r="E10" s="15" t="s">
        <v>13</v>
      </c>
      <c r="F10" s="19" t="n">
        <v>0.1925</v>
      </c>
      <c r="G10" s="18"/>
      <c r="H10" s="18"/>
    </row>
    <row r="11" customFormat="false" ht="15" hidden="false" customHeight="true" outlineLevel="0" collapsed="false">
      <c r="A11" s="15" t="s">
        <v>14</v>
      </c>
      <c r="B11" s="16" t="n">
        <v>0.08</v>
      </c>
      <c r="C11" s="17" t="s">
        <v>12</v>
      </c>
      <c r="D11" s="18"/>
      <c r="E11" s="15" t="s">
        <v>15</v>
      </c>
      <c r="F11" s="19" t="n">
        <v>0.1111</v>
      </c>
      <c r="G11" s="18"/>
      <c r="H11" s="18"/>
    </row>
    <row r="12" customFormat="false" ht="15" hidden="false" customHeight="true" outlineLevel="0" collapsed="false">
      <c r="A12" s="15" t="s">
        <v>16</v>
      </c>
      <c r="B12" s="16" t="n">
        <v>0.05</v>
      </c>
      <c r="C12" s="17" t="s">
        <v>12</v>
      </c>
      <c r="D12" s="18"/>
      <c r="E12" s="15" t="s">
        <v>17</v>
      </c>
      <c r="F12" s="19" t="n">
        <v>0</v>
      </c>
      <c r="G12" s="18"/>
      <c r="H12" s="18"/>
    </row>
    <row r="13" customFormat="false" ht="15" hidden="false" customHeight="true" outlineLevel="0" collapsed="false">
      <c r="A13" s="15" t="s">
        <v>18</v>
      </c>
      <c r="B13" s="16" t="n">
        <v>0</v>
      </c>
      <c r="C13" s="17" t="s">
        <v>12</v>
      </c>
      <c r="D13" s="18"/>
    </row>
    <row r="15" customFormat="false" ht="21.75" hidden="false" customHeight="true" outlineLevel="0" collapsed="false">
      <c r="A15" s="20" t="s">
        <v>19</v>
      </c>
      <c r="B15" s="20"/>
      <c r="C15" s="20"/>
      <c r="D15" s="20"/>
      <c r="E15" s="21" t="s">
        <v>20</v>
      </c>
      <c r="F15" s="21"/>
      <c r="G15" s="21"/>
      <c r="H15" s="21"/>
    </row>
    <row r="16" customFormat="false" ht="19.5" hidden="false" customHeight="true" outlineLevel="0" collapsed="false">
      <c r="A16" s="6" t="s">
        <v>21</v>
      </c>
      <c r="B16" s="22" t="n">
        <v>200000</v>
      </c>
      <c r="C16" s="23" t="s">
        <v>22</v>
      </c>
      <c r="D16" s="23"/>
      <c r="E16" s="6" t="s">
        <v>23</v>
      </c>
      <c r="F16" s="24" t="n">
        <v>5000</v>
      </c>
    </row>
    <row r="17" customFormat="false" ht="19.5" hidden="false" customHeight="true" outlineLevel="0" collapsed="false">
      <c r="A17" s="6" t="s">
        <v>6</v>
      </c>
      <c r="B17" s="25" t="n">
        <v>0.075</v>
      </c>
      <c r="C17" s="23"/>
      <c r="D17" s="23"/>
      <c r="E17" s="6" t="s">
        <v>6</v>
      </c>
      <c r="F17" s="9" t="n">
        <v>0.2</v>
      </c>
    </row>
    <row r="18" customFormat="false" ht="19.5" hidden="false" customHeight="true" outlineLevel="0" collapsed="false">
      <c r="A18" s="6" t="s">
        <v>7</v>
      </c>
      <c r="B18" s="26" t="n">
        <f aca="false">B16*B17</f>
        <v>15000</v>
      </c>
      <c r="C18" s="23"/>
      <c r="D18" s="23"/>
      <c r="E18" s="6" t="s">
        <v>7</v>
      </c>
      <c r="F18" s="27" t="n">
        <f aca="false">F16*F17</f>
        <v>1000</v>
      </c>
    </row>
    <row r="19" customFormat="false" ht="19.5" hidden="false" customHeight="true" outlineLevel="0" collapsed="false">
      <c r="A19" s="6" t="s">
        <v>8</v>
      </c>
      <c r="B19" s="26" t="n">
        <f aca="false">B16+B18</f>
        <v>215000</v>
      </c>
      <c r="C19" s="23"/>
      <c r="D19" s="23"/>
      <c r="E19" s="6" t="s">
        <v>8</v>
      </c>
      <c r="F19" s="27" t="n">
        <f aca="false">F16+F18</f>
        <v>6000</v>
      </c>
    </row>
    <row r="20" customFormat="false" ht="21.75" hidden="false" customHeight="true" outlineLevel="0" collapsed="false">
      <c r="E20" s="21" t="s">
        <v>24</v>
      </c>
      <c r="F20" s="21"/>
      <c r="G20" s="21"/>
      <c r="H20" s="21"/>
    </row>
    <row r="21" customFormat="false" ht="15" hidden="false" customHeight="true" outlineLevel="0" collapsed="false">
      <c r="E21" s="15" t="s">
        <v>25</v>
      </c>
      <c r="F21" s="16" t="n">
        <v>0.19</v>
      </c>
      <c r="G21" s="18"/>
      <c r="H21" s="18"/>
    </row>
    <row r="22" customFormat="false" ht="15" hidden="false" customHeight="true" outlineLevel="0" collapsed="false">
      <c r="E22" s="15" t="s">
        <v>26</v>
      </c>
      <c r="F22" s="16" t="n">
        <v>0.2</v>
      </c>
      <c r="G22" s="18"/>
      <c r="H22" s="18"/>
    </row>
    <row r="23" customFormat="false" ht="15" hidden="false" customHeight="true" outlineLevel="0" collapsed="false">
      <c r="E23" s="15" t="s">
        <v>27</v>
      </c>
      <c r="F23" s="16" t="n">
        <v>0.22</v>
      </c>
      <c r="G23" s="18"/>
      <c r="H23" s="18"/>
    </row>
    <row r="24" customFormat="false" ht="15" hidden="false" customHeight="true" outlineLevel="0" collapsed="false">
      <c r="E24" s="15" t="s">
        <v>28</v>
      </c>
      <c r="F24" s="16" t="n">
        <v>0.21</v>
      </c>
      <c r="G24" s="18"/>
      <c r="H24" s="18"/>
    </row>
    <row r="26" customFormat="false" ht="21.75" hidden="false" customHeight="true" outlineLevel="0" collapsed="false">
      <c r="A26" s="13" t="s">
        <v>29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A27" s="28" t="s">
        <v>30</v>
      </c>
      <c r="B27" s="28" t="s">
        <v>31</v>
      </c>
      <c r="C27" s="28" t="s">
        <v>32</v>
      </c>
      <c r="D27" s="28" t="s">
        <v>33</v>
      </c>
      <c r="E27" s="28" t="s">
        <v>34</v>
      </c>
      <c r="F27" s="28" t="s">
        <v>35</v>
      </c>
      <c r="G27" s="28" t="s">
        <v>36</v>
      </c>
      <c r="H27" s="28" t="s">
        <v>37</v>
      </c>
    </row>
    <row r="28" customFormat="false" ht="15" hidden="false" customHeight="true" outlineLevel="0" collapsed="false">
      <c r="A28" s="29" t="s">
        <v>38</v>
      </c>
      <c r="B28" s="30" t="n">
        <v>1000</v>
      </c>
      <c r="C28" s="31" t="n">
        <v>1</v>
      </c>
      <c r="D28" s="31" t="n">
        <v>4.28</v>
      </c>
      <c r="E28" s="31" t="n">
        <v>655.96</v>
      </c>
      <c r="F28" s="31" t="n">
        <v>1580</v>
      </c>
      <c r="G28" s="27" t="n">
        <f aca="false">B28*C28</f>
        <v>1000</v>
      </c>
      <c r="H28" s="32" t="n">
        <f aca="false">B28*D28</f>
        <v>4280</v>
      </c>
    </row>
    <row r="29" customFormat="false" ht="15" hidden="false" customHeight="true" outlineLevel="0" collapsed="false">
      <c r="A29" s="29" t="s">
        <v>39</v>
      </c>
      <c r="B29" s="30" t="n">
        <v>1000</v>
      </c>
      <c r="C29" s="31" t="n">
        <v>0.2336</v>
      </c>
      <c r="D29" s="31" t="n">
        <v>1</v>
      </c>
      <c r="E29" s="31" t="n">
        <v>153.27</v>
      </c>
      <c r="F29" s="31" t="n">
        <v>369</v>
      </c>
      <c r="G29" s="27" t="n">
        <f aca="false">B29*C29</f>
        <v>233.6</v>
      </c>
      <c r="H29" s="32" t="n">
        <f aca="false">B29*D29</f>
        <v>1000</v>
      </c>
    </row>
    <row r="30" customFormat="false" ht="15" hidden="false" customHeight="true" outlineLevel="0" collapsed="false">
      <c r="A30" s="29" t="s">
        <v>40</v>
      </c>
      <c r="B30" s="30" t="n">
        <v>50000</v>
      </c>
      <c r="C30" s="31" t="n">
        <v>0.00152</v>
      </c>
      <c r="D30" s="31" t="n">
        <v>0.00652</v>
      </c>
      <c r="E30" s="31" t="n">
        <v>1</v>
      </c>
      <c r="F30" s="31" t="n">
        <v>2.41</v>
      </c>
      <c r="G30" s="27" t="n">
        <f aca="false">B30*C30</f>
        <v>76</v>
      </c>
      <c r="H30" s="32" t="n">
        <f aca="false">B30*D30</f>
        <v>326</v>
      </c>
    </row>
    <row r="31" customFormat="false" ht="15" hidden="false" customHeight="true" outlineLevel="0" collapsed="false">
      <c r="A31" s="29" t="s">
        <v>41</v>
      </c>
      <c r="B31" s="30" t="n">
        <v>500000</v>
      </c>
      <c r="C31" s="31" t="n">
        <v>0.00063</v>
      </c>
      <c r="D31" s="31" t="n">
        <v>0.00271</v>
      </c>
      <c r="E31" s="31" t="n">
        <v>0.415</v>
      </c>
      <c r="F31" s="31" t="n">
        <v>1</v>
      </c>
      <c r="G31" s="27" t="n">
        <f aca="false">B31*C31</f>
        <v>315</v>
      </c>
      <c r="H31" s="32" t="n">
        <f aca="false">B31*D31</f>
        <v>1355</v>
      </c>
    </row>
    <row r="33" customFormat="false" ht="15" hidden="false" customHeight="true" outlineLevel="0" collapsed="false">
      <c r="A33" s="33" t="s">
        <v>42</v>
      </c>
      <c r="B33" s="33"/>
      <c r="C33" s="33"/>
      <c r="D33" s="33"/>
      <c r="E33" s="33"/>
      <c r="F33" s="33"/>
      <c r="G33" s="33"/>
      <c r="H33" s="33"/>
    </row>
  </sheetData>
  <mergeCells count="12">
    <mergeCell ref="A1:H1"/>
    <mergeCell ref="A2:H2"/>
    <mergeCell ref="A4:D4"/>
    <mergeCell ref="E4:H4"/>
    <mergeCell ref="A9:D9"/>
    <mergeCell ref="E9:H9"/>
    <mergeCell ref="A15:D15"/>
    <mergeCell ref="E15:H15"/>
    <mergeCell ref="C16:D19"/>
    <mergeCell ref="E20:H20"/>
    <mergeCell ref="A26:H26"/>
    <mergeCell ref="A33:H3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&amp;CAFRIQUEEUROPECONNEXIONVMETC (AEC)  |  Kraków · Douala · Abuja  |  ArmelSandjong@afriqueeuropeconnexionvmetc.com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8"/>
    <col collapsed="false" customWidth="true" hidden="false" outlineLevel="0" max="10" min="10" style="1" width="12"/>
  </cols>
  <sheetData>
    <row r="1" customFormat="false" ht="36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A4" s="13" t="s">
        <v>45</v>
      </c>
      <c r="B4" s="13"/>
      <c r="C4" s="13"/>
      <c r="D4" s="13"/>
      <c r="E4" s="13"/>
      <c r="F4" s="13"/>
      <c r="G4" s="13"/>
      <c r="H4" s="13"/>
      <c r="I4" s="13"/>
      <c r="J4" s="13"/>
    </row>
    <row r="5" customFormat="false" ht="27.75" hidden="false" customHeight="true" outlineLevel="0" collapsed="false">
      <c r="A5" s="34" t="s">
        <v>46</v>
      </c>
      <c r="B5" s="34" t="s">
        <v>47</v>
      </c>
      <c r="C5" s="34" t="s">
        <v>48</v>
      </c>
      <c r="D5" s="34" t="s">
        <v>49</v>
      </c>
      <c r="E5" s="34" t="s">
        <v>50</v>
      </c>
      <c r="F5" s="34" t="s">
        <v>51</v>
      </c>
      <c r="G5" s="34" t="s">
        <v>52</v>
      </c>
      <c r="H5" s="34" t="s">
        <v>53</v>
      </c>
      <c r="I5" s="35" t="s">
        <v>54</v>
      </c>
      <c r="J5" s="34" t="s">
        <v>55</v>
      </c>
    </row>
    <row r="6" customFormat="false" ht="21.75" hidden="false" customHeight="true" outlineLevel="0" collapsed="false">
      <c r="B6" s="36" t="n">
        <f aca="false">IFERROR(SUM(F12:F500),0)</f>
        <v>205450</v>
      </c>
      <c r="C6" s="36" t="n">
        <f aca="false">IFERROR(SUM(G12:G500),0)</f>
        <v>0.7325</v>
      </c>
      <c r="D6" s="36" t="n">
        <f aca="false">IFERROR(SUM(H12:H500),0)</f>
        <v>244839.5</v>
      </c>
      <c r="E6" s="36" t="n">
        <f aca="false">IFERROR(SUMIF(C12:C500,"Travel",H12:H500),0)</f>
        <v>1296</v>
      </c>
      <c r="F6" s="36" t="n">
        <f aca="false">IFERROR(SUMIF(C12:C500,"Software/IT",H12:H500),0)</f>
        <v>553.5</v>
      </c>
      <c r="G6" s="36" t="n">
        <f aca="false">IFERROR(SUMIF(C12:C500,"Consulting",H12:H500),0)</f>
        <v>3690</v>
      </c>
      <c r="H6" s="36" t="n">
        <f aca="false">IFERROR(D6-E6-F6-G6,0)</f>
        <v>239300</v>
      </c>
      <c r="I6" s="30" t="n">
        <v>10000</v>
      </c>
      <c r="J6" s="36" t="n">
        <f aca="false">IFERROR(I6-D6,0)</f>
        <v>-234839.5</v>
      </c>
    </row>
    <row r="10" customFormat="false" ht="21.75" hidden="false" customHeight="true" outlineLevel="0" collapsed="false">
      <c r="A10" s="4" t="s">
        <v>56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24" hidden="false" customHeight="true" outlineLevel="0" collapsed="false">
      <c r="A11" s="37" t="s">
        <v>57</v>
      </c>
      <c r="B11" s="37" t="s">
        <v>58</v>
      </c>
      <c r="C11" s="37" t="s">
        <v>59</v>
      </c>
      <c r="D11" s="37" t="s">
        <v>60</v>
      </c>
      <c r="E11" s="37" t="s">
        <v>61</v>
      </c>
      <c r="F11" s="37" t="s">
        <v>62</v>
      </c>
      <c r="G11" s="37" t="s">
        <v>63</v>
      </c>
      <c r="H11" s="37" t="s">
        <v>8</v>
      </c>
      <c r="I11" s="37" t="s">
        <v>64</v>
      </c>
      <c r="J11" s="37" t="s">
        <v>65</v>
      </c>
    </row>
    <row r="12" customFormat="false" ht="15" hidden="false" customHeight="true" outlineLevel="0" collapsed="false">
      <c r="A12" s="38" t="n">
        <v>1</v>
      </c>
      <c r="B12" s="39" t="s">
        <v>66</v>
      </c>
      <c r="C12" s="40" t="s">
        <v>50</v>
      </c>
      <c r="D12" s="40" t="s">
        <v>67</v>
      </c>
      <c r="E12" s="40" t="s">
        <v>68</v>
      </c>
      <c r="F12" s="41" t="n">
        <v>1200</v>
      </c>
      <c r="G12" s="42" t="n">
        <v>0.08</v>
      </c>
      <c r="H12" s="43" t="n">
        <f aca="false">IFERROR(F12*(1+G12),0)</f>
        <v>1296</v>
      </c>
      <c r="I12" s="40" t="s">
        <v>69</v>
      </c>
      <c r="J12" s="40" t="s">
        <v>70</v>
      </c>
    </row>
    <row r="13" customFormat="false" ht="15" hidden="false" customHeight="true" outlineLevel="0" collapsed="false">
      <c r="A13" s="44" t="n">
        <v>2</v>
      </c>
      <c r="B13" s="45" t="s">
        <v>71</v>
      </c>
      <c r="C13" s="46" t="s">
        <v>51</v>
      </c>
      <c r="D13" s="46" t="s">
        <v>72</v>
      </c>
      <c r="E13" s="46" t="s">
        <v>68</v>
      </c>
      <c r="F13" s="47" t="n">
        <v>450</v>
      </c>
      <c r="G13" s="48" t="n">
        <v>0.23</v>
      </c>
      <c r="H13" s="49" t="n">
        <f aca="false">IFERROR(F13*(1+G13),0)</f>
        <v>553.5</v>
      </c>
      <c r="I13" s="46" t="s">
        <v>73</v>
      </c>
      <c r="J13" s="46" t="s">
        <v>70</v>
      </c>
    </row>
    <row r="14" customFormat="false" ht="15" hidden="false" customHeight="true" outlineLevel="0" collapsed="false">
      <c r="A14" s="38" t="n">
        <v>3</v>
      </c>
      <c r="B14" s="39" t="s">
        <v>74</v>
      </c>
      <c r="C14" s="40" t="s">
        <v>52</v>
      </c>
      <c r="D14" s="40" t="s">
        <v>75</v>
      </c>
      <c r="E14" s="40" t="s">
        <v>68</v>
      </c>
      <c r="F14" s="41" t="n">
        <v>3000</v>
      </c>
      <c r="G14" s="42" t="n">
        <v>0.23</v>
      </c>
      <c r="H14" s="43" t="n">
        <f aca="false">IFERROR(F14*(1+G14),0)</f>
        <v>3690</v>
      </c>
      <c r="I14" s="40" t="s">
        <v>76</v>
      </c>
      <c r="J14" s="40" t="s">
        <v>70</v>
      </c>
    </row>
    <row r="15" customFormat="false" ht="15" hidden="false" customHeight="true" outlineLevel="0" collapsed="false">
      <c r="A15" s="44" t="n">
        <v>4</v>
      </c>
      <c r="B15" s="45" t="s">
        <v>77</v>
      </c>
      <c r="C15" s="46" t="s">
        <v>78</v>
      </c>
      <c r="D15" s="46" t="s">
        <v>79</v>
      </c>
      <c r="E15" s="46" t="s">
        <v>53</v>
      </c>
      <c r="F15" s="47" t="n">
        <v>800</v>
      </c>
      <c r="G15" s="48" t="n">
        <v>0</v>
      </c>
      <c r="H15" s="49" t="n">
        <f aca="false">IFERROR(F15*(1+G15),0)</f>
        <v>800</v>
      </c>
      <c r="I15" s="46" t="s">
        <v>80</v>
      </c>
      <c r="J15" s="46" t="s">
        <v>70</v>
      </c>
    </row>
    <row r="16" customFormat="false" ht="15" hidden="false" customHeight="true" outlineLevel="0" collapsed="false">
      <c r="A16" s="38" t="n">
        <v>5</v>
      </c>
      <c r="B16" s="39" t="s">
        <v>81</v>
      </c>
      <c r="C16" s="40" t="s">
        <v>82</v>
      </c>
      <c r="D16" s="40" t="s">
        <v>83</v>
      </c>
      <c r="E16" s="40" t="s">
        <v>84</v>
      </c>
      <c r="F16" s="41" t="n">
        <v>200000</v>
      </c>
      <c r="G16" s="42" t="n">
        <v>0.1925</v>
      </c>
      <c r="H16" s="43" t="n">
        <f aca="false">IFERROR(F16*(1+G16),0)</f>
        <v>238500</v>
      </c>
      <c r="I16" s="40" t="s">
        <v>85</v>
      </c>
      <c r="J16" s="40" t="s">
        <v>70</v>
      </c>
    </row>
    <row r="17" customFormat="false" ht="15" hidden="false" customHeight="true" outlineLevel="0" collapsed="false">
      <c r="A17" s="50" t="n">
        <v>6</v>
      </c>
      <c r="B17" s="51"/>
      <c r="C17" s="51"/>
      <c r="D17" s="51"/>
      <c r="E17" s="51"/>
      <c r="F17" s="51"/>
      <c r="G17" s="51"/>
      <c r="H17" s="52" t="str">
        <f aca="false">IFERROR(IF(F17="","",F17*(1+G17)),"")</f>
        <v/>
      </c>
      <c r="I17" s="51"/>
      <c r="J17" s="51"/>
    </row>
    <row r="18" customFormat="false" ht="15" hidden="false" customHeight="true" outlineLevel="0" collapsed="false">
      <c r="A18" s="50" t="n">
        <v>7</v>
      </c>
      <c r="B18" s="51"/>
      <c r="C18" s="51"/>
      <c r="D18" s="51"/>
      <c r="E18" s="51"/>
      <c r="F18" s="51"/>
      <c r="G18" s="51"/>
      <c r="H18" s="52" t="str">
        <f aca="false">IFERROR(IF(F18="","",F18*(1+G18)),"")</f>
        <v/>
      </c>
      <c r="I18" s="51"/>
      <c r="J18" s="51"/>
    </row>
    <row r="19" customFormat="false" ht="15" hidden="false" customHeight="true" outlineLevel="0" collapsed="false">
      <c r="A19" s="50" t="n">
        <v>8</v>
      </c>
      <c r="B19" s="51"/>
      <c r="C19" s="51"/>
      <c r="D19" s="51"/>
      <c r="E19" s="51"/>
      <c r="F19" s="51"/>
      <c r="G19" s="51"/>
      <c r="H19" s="52" t="str">
        <f aca="false">IFERROR(IF(F19="","",F19*(1+G19)),"")</f>
        <v/>
      </c>
      <c r="I19" s="51"/>
      <c r="J19" s="51"/>
    </row>
    <row r="20" customFormat="false" ht="15" hidden="false" customHeight="true" outlineLevel="0" collapsed="false">
      <c r="A20" s="50" t="n">
        <v>9</v>
      </c>
      <c r="B20" s="51"/>
      <c r="C20" s="51"/>
      <c r="D20" s="51"/>
      <c r="E20" s="51"/>
      <c r="F20" s="51"/>
      <c r="G20" s="51"/>
      <c r="H20" s="52" t="str">
        <f aca="false">IFERROR(IF(F20="","",F20*(1+G20)),"")</f>
        <v/>
      </c>
      <c r="I20" s="51"/>
      <c r="J20" s="51"/>
    </row>
    <row r="21" customFormat="false" ht="15" hidden="false" customHeight="true" outlineLevel="0" collapsed="false">
      <c r="A21" s="50" t="n">
        <v>10</v>
      </c>
      <c r="B21" s="51"/>
      <c r="C21" s="51"/>
      <c r="D21" s="51"/>
      <c r="E21" s="51"/>
      <c r="F21" s="51"/>
      <c r="G21" s="51"/>
      <c r="H21" s="52" t="str">
        <f aca="false">IFERROR(IF(F21="","",F21*(1+G21)),"")</f>
        <v/>
      </c>
      <c r="I21" s="51"/>
      <c r="J21" s="51"/>
    </row>
    <row r="22" customFormat="false" ht="15" hidden="false" customHeight="true" outlineLevel="0" collapsed="false">
      <c r="A22" s="50" t="n">
        <v>11</v>
      </c>
      <c r="B22" s="51"/>
      <c r="C22" s="51"/>
      <c r="D22" s="51"/>
      <c r="E22" s="51"/>
      <c r="F22" s="51"/>
      <c r="G22" s="51"/>
      <c r="H22" s="52" t="str">
        <f aca="false">IFERROR(IF(F22="","",F22*(1+G22)),"")</f>
        <v/>
      </c>
      <c r="I22" s="51"/>
      <c r="J22" s="51"/>
    </row>
    <row r="23" customFormat="false" ht="15" hidden="false" customHeight="true" outlineLevel="0" collapsed="false">
      <c r="A23" s="50" t="n">
        <v>12</v>
      </c>
      <c r="B23" s="51"/>
      <c r="C23" s="51"/>
      <c r="D23" s="51"/>
      <c r="E23" s="51"/>
      <c r="F23" s="51"/>
      <c r="G23" s="51"/>
      <c r="H23" s="52" t="str">
        <f aca="false">IFERROR(IF(F23="","",F23*(1+G23)),"")</f>
        <v/>
      </c>
      <c r="I23" s="51"/>
      <c r="J23" s="51"/>
    </row>
    <row r="24" customFormat="false" ht="15" hidden="false" customHeight="true" outlineLevel="0" collapsed="false">
      <c r="A24" s="50" t="n">
        <v>13</v>
      </c>
      <c r="B24" s="51"/>
      <c r="C24" s="51"/>
      <c r="D24" s="51"/>
      <c r="E24" s="51"/>
      <c r="F24" s="51"/>
      <c r="G24" s="51"/>
      <c r="H24" s="52" t="str">
        <f aca="false">IFERROR(IF(F24="","",F24*(1+G24)),"")</f>
        <v/>
      </c>
      <c r="I24" s="51"/>
      <c r="J24" s="51"/>
    </row>
    <row r="25" customFormat="false" ht="15" hidden="false" customHeight="true" outlineLevel="0" collapsed="false">
      <c r="A25" s="50" t="n">
        <v>14</v>
      </c>
      <c r="B25" s="51"/>
      <c r="C25" s="51"/>
      <c r="D25" s="51"/>
      <c r="E25" s="51"/>
      <c r="F25" s="51"/>
      <c r="G25" s="51"/>
      <c r="H25" s="52" t="str">
        <f aca="false">IFERROR(IF(F25="","",F25*(1+G25)),"")</f>
        <v/>
      </c>
      <c r="I25" s="51"/>
      <c r="J25" s="51"/>
    </row>
    <row r="26" customFormat="false" ht="15" hidden="false" customHeight="true" outlineLevel="0" collapsed="false">
      <c r="A26" s="50" t="n">
        <v>15</v>
      </c>
      <c r="B26" s="51"/>
      <c r="C26" s="51"/>
      <c r="D26" s="51"/>
      <c r="E26" s="51"/>
      <c r="F26" s="51"/>
      <c r="G26" s="51"/>
      <c r="H26" s="52" t="str">
        <f aca="false">IFERROR(IF(F26="","",F26*(1+G26)),"")</f>
        <v/>
      </c>
      <c r="I26" s="51"/>
      <c r="J26" s="51"/>
    </row>
    <row r="27" customFormat="false" ht="15" hidden="false" customHeight="true" outlineLevel="0" collapsed="false">
      <c r="A27" s="50" t="n">
        <v>16</v>
      </c>
      <c r="B27" s="51"/>
      <c r="C27" s="51"/>
      <c r="D27" s="51"/>
      <c r="E27" s="51"/>
      <c r="F27" s="51"/>
      <c r="G27" s="51"/>
      <c r="H27" s="52" t="str">
        <f aca="false">IFERROR(IF(F27="","",F27*(1+G27)),"")</f>
        <v/>
      </c>
      <c r="I27" s="51"/>
      <c r="J27" s="51"/>
    </row>
    <row r="28" customFormat="false" ht="15" hidden="false" customHeight="true" outlineLevel="0" collapsed="false">
      <c r="A28" s="50" t="n">
        <v>17</v>
      </c>
      <c r="B28" s="51"/>
      <c r="C28" s="51"/>
      <c r="D28" s="51"/>
      <c r="E28" s="51"/>
      <c r="F28" s="51"/>
      <c r="G28" s="51"/>
      <c r="H28" s="52" t="str">
        <f aca="false">IFERROR(IF(F28="","",F28*(1+G28)),"")</f>
        <v/>
      </c>
      <c r="I28" s="51"/>
      <c r="J28" s="51"/>
    </row>
    <row r="29" customFormat="false" ht="15" hidden="false" customHeight="true" outlineLevel="0" collapsed="false">
      <c r="A29" s="50" t="n">
        <v>18</v>
      </c>
      <c r="B29" s="51"/>
      <c r="C29" s="51"/>
      <c r="D29" s="51"/>
      <c r="E29" s="51"/>
      <c r="F29" s="51"/>
      <c r="G29" s="51"/>
      <c r="H29" s="52" t="str">
        <f aca="false">IFERROR(IF(F29="","",F29*(1+G29)),"")</f>
        <v/>
      </c>
      <c r="I29" s="51"/>
      <c r="J29" s="51"/>
    </row>
    <row r="30" customFormat="false" ht="15" hidden="false" customHeight="true" outlineLevel="0" collapsed="false">
      <c r="A30" s="50" t="n">
        <v>19</v>
      </c>
      <c r="B30" s="51"/>
      <c r="C30" s="51"/>
      <c r="D30" s="51"/>
      <c r="E30" s="51"/>
      <c r="F30" s="51"/>
      <c r="G30" s="51"/>
      <c r="H30" s="52" t="str">
        <f aca="false">IFERROR(IF(F30="","",F30*(1+G30)),"")</f>
        <v/>
      </c>
      <c r="I30" s="51"/>
      <c r="J30" s="51"/>
    </row>
    <row r="31" customFormat="false" ht="15" hidden="false" customHeight="true" outlineLevel="0" collapsed="false">
      <c r="A31" s="50" t="n">
        <v>20</v>
      </c>
      <c r="B31" s="51"/>
      <c r="C31" s="51"/>
      <c r="D31" s="51"/>
      <c r="E31" s="51"/>
      <c r="F31" s="51"/>
      <c r="G31" s="51"/>
      <c r="H31" s="52" t="str">
        <f aca="false">IFERROR(IF(F31="","",F31*(1+G31)),"")</f>
        <v/>
      </c>
      <c r="I31" s="51"/>
      <c r="J31" s="51"/>
    </row>
    <row r="32" customFormat="false" ht="15" hidden="false" customHeight="true" outlineLevel="0" collapsed="false">
      <c r="A32" s="50" t="n">
        <v>21</v>
      </c>
      <c r="B32" s="51"/>
      <c r="C32" s="51"/>
      <c r="D32" s="51"/>
      <c r="E32" s="51"/>
      <c r="F32" s="51"/>
      <c r="G32" s="51"/>
      <c r="H32" s="52" t="str">
        <f aca="false">IFERROR(IF(F32="","",F32*(1+G32)),"")</f>
        <v/>
      </c>
      <c r="I32" s="51"/>
      <c r="J32" s="51"/>
    </row>
    <row r="33" customFormat="false" ht="15" hidden="false" customHeight="true" outlineLevel="0" collapsed="false">
      <c r="A33" s="50" t="n">
        <v>22</v>
      </c>
      <c r="B33" s="51"/>
      <c r="C33" s="51"/>
      <c r="D33" s="51"/>
      <c r="E33" s="51"/>
      <c r="F33" s="51"/>
      <c r="G33" s="51"/>
      <c r="H33" s="52" t="str">
        <f aca="false">IFERROR(IF(F33="","",F33*(1+G33)),"")</f>
        <v/>
      </c>
      <c r="I33" s="51"/>
      <c r="J33" s="51"/>
    </row>
    <row r="34" customFormat="false" ht="15" hidden="false" customHeight="true" outlineLevel="0" collapsed="false">
      <c r="A34" s="50" t="n">
        <v>23</v>
      </c>
      <c r="B34" s="51"/>
      <c r="C34" s="51"/>
      <c r="D34" s="51"/>
      <c r="E34" s="51"/>
      <c r="F34" s="51"/>
      <c r="G34" s="51"/>
      <c r="H34" s="52" t="str">
        <f aca="false">IFERROR(IF(F34="","",F34*(1+G34)),"")</f>
        <v/>
      </c>
      <c r="I34" s="51"/>
      <c r="J34" s="51"/>
    </row>
    <row r="35" customFormat="false" ht="15" hidden="false" customHeight="true" outlineLevel="0" collapsed="false">
      <c r="A35" s="50" t="n">
        <v>24</v>
      </c>
      <c r="B35" s="51"/>
      <c r="C35" s="51"/>
      <c r="D35" s="51"/>
      <c r="E35" s="51"/>
      <c r="F35" s="51"/>
      <c r="G35" s="51"/>
      <c r="H35" s="52" t="str">
        <f aca="false">IFERROR(IF(F35="","",F35*(1+G35)),"")</f>
        <v/>
      </c>
      <c r="I35" s="51"/>
      <c r="J35" s="51"/>
    </row>
    <row r="36" customFormat="false" ht="15" hidden="false" customHeight="true" outlineLevel="0" collapsed="false">
      <c r="A36" s="50" t="n">
        <v>25</v>
      </c>
      <c r="B36" s="51"/>
      <c r="C36" s="51"/>
      <c r="D36" s="51"/>
      <c r="E36" s="51"/>
      <c r="F36" s="51"/>
      <c r="G36" s="51"/>
      <c r="H36" s="52" t="str">
        <f aca="false">IFERROR(IF(F36="","",F36*(1+G36)),"")</f>
        <v/>
      </c>
      <c r="I36" s="51"/>
      <c r="J36" s="51"/>
    </row>
    <row r="37" customFormat="false" ht="15" hidden="false" customHeight="true" outlineLevel="0" collapsed="false">
      <c r="A37" s="50" t="n">
        <v>26</v>
      </c>
      <c r="B37" s="51"/>
      <c r="C37" s="51"/>
      <c r="D37" s="51"/>
      <c r="E37" s="51"/>
      <c r="F37" s="51"/>
      <c r="G37" s="51"/>
      <c r="H37" s="52" t="str">
        <f aca="false">IFERROR(IF(F37="","",F37*(1+G37)),"")</f>
        <v/>
      </c>
      <c r="I37" s="51"/>
      <c r="J37" s="51"/>
    </row>
    <row r="38" customFormat="false" ht="15" hidden="false" customHeight="true" outlineLevel="0" collapsed="false">
      <c r="A38" s="50" t="n">
        <v>27</v>
      </c>
      <c r="B38" s="51"/>
      <c r="C38" s="51"/>
      <c r="D38" s="51"/>
      <c r="E38" s="51"/>
      <c r="F38" s="51"/>
      <c r="G38" s="51"/>
      <c r="H38" s="52" t="str">
        <f aca="false">IFERROR(IF(F38="","",F38*(1+G38)),"")</f>
        <v/>
      </c>
      <c r="I38" s="51"/>
      <c r="J38" s="51"/>
    </row>
    <row r="39" customFormat="false" ht="15" hidden="false" customHeight="true" outlineLevel="0" collapsed="false">
      <c r="A39" s="50" t="n">
        <v>28</v>
      </c>
      <c r="B39" s="51"/>
      <c r="C39" s="51"/>
      <c r="D39" s="51"/>
      <c r="E39" s="51"/>
      <c r="F39" s="51"/>
      <c r="G39" s="51"/>
      <c r="H39" s="52" t="str">
        <f aca="false">IFERROR(IF(F39="","",F39*(1+G39)),"")</f>
        <v/>
      </c>
      <c r="I39" s="51"/>
      <c r="J39" s="51"/>
    </row>
    <row r="40" customFormat="false" ht="15" hidden="false" customHeight="true" outlineLevel="0" collapsed="false">
      <c r="A40" s="50" t="n">
        <v>29</v>
      </c>
      <c r="B40" s="51"/>
      <c r="C40" s="51"/>
      <c r="D40" s="51"/>
      <c r="E40" s="51"/>
      <c r="F40" s="51"/>
      <c r="G40" s="51"/>
      <c r="H40" s="52" t="str">
        <f aca="false">IFERROR(IF(F40="","",F40*(1+G40)),"")</f>
        <v/>
      </c>
      <c r="I40" s="51"/>
      <c r="J40" s="51"/>
    </row>
    <row r="41" customFormat="false" ht="15" hidden="false" customHeight="true" outlineLevel="0" collapsed="false">
      <c r="A41" s="50" t="n">
        <v>30</v>
      </c>
      <c r="B41" s="51"/>
      <c r="C41" s="51"/>
      <c r="D41" s="51"/>
      <c r="E41" s="51"/>
      <c r="F41" s="51"/>
      <c r="G41" s="51"/>
      <c r="H41" s="52" t="str">
        <f aca="false">IFERROR(IF(F41="","",F41*(1+G41)),"")</f>
        <v/>
      </c>
      <c r="I41" s="51"/>
      <c r="J41" s="51"/>
    </row>
    <row r="42" customFormat="false" ht="15" hidden="false" customHeight="true" outlineLevel="0" collapsed="false">
      <c r="A42" s="50" t="n">
        <v>31</v>
      </c>
      <c r="B42" s="51"/>
      <c r="C42" s="51"/>
      <c r="D42" s="51"/>
      <c r="E42" s="51"/>
      <c r="F42" s="51"/>
      <c r="G42" s="51"/>
      <c r="H42" s="52" t="str">
        <f aca="false">IFERROR(IF(F42="","",F42*(1+G42)),"")</f>
        <v/>
      </c>
      <c r="I42" s="51"/>
      <c r="J42" s="51"/>
    </row>
    <row r="43" customFormat="false" ht="15" hidden="false" customHeight="true" outlineLevel="0" collapsed="false">
      <c r="A43" s="50" t="n">
        <v>32</v>
      </c>
      <c r="B43" s="51"/>
      <c r="C43" s="51"/>
      <c r="D43" s="51"/>
      <c r="E43" s="51"/>
      <c r="F43" s="51"/>
      <c r="G43" s="51"/>
      <c r="H43" s="52" t="str">
        <f aca="false">IFERROR(IF(F43="","",F43*(1+G43)),"")</f>
        <v/>
      </c>
      <c r="I43" s="51"/>
      <c r="J43" s="51"/>
    </row>
    <row r="44" customFormat="false" ht="15" hidden="false" customHeight="true" outlineLevel="0" collapsed="false">
      <c r="A44" s="50" t="n">
        <v>33</v>
      </c>
      <c r="B44" s="51"/>
      <c r="C44" s="51"/>
      <c r="D44" s="51"/>
      <c r="E44" s="51"/>
      <c r="F44" s="51"/>
      <c r="G44" s="51"/>
      <c r="H44" s="52" t="str">
        <f aca="false">IFERROR(IF(F44="","",F44*(1+G44)),"")</f>
        <v/>
      </c>
      <c r="I44" s="51"/>
      <c r="J44" s="51"/>
    </row>
    <row r="45" customFormat="false" ht="15" hidden="false" customHeight="true" outlineLevel="0" collapsed="false">
      <c r="A45" s="50" t="n">
        <v>34</v>
      </c>
      <c r="B45" s="51"/>
      <c r="C45" s="51"/>
      <c r="D45" s="51"/>
      <c r="E45" s="51"/>
      <c r="F45" s="51"/>
      <c r="G45" s="51"/>
      <c r="H45" s="52" t="str">
        <f aca="false">IFERROR(IF(F45="","",F45*(1+G45)),"")</f>
        <v/>
      </c>
      <c r="I45" s="51"/>
      <c r="J45" s="51"/>
    </row>
    <row r="46" customFormat="false" ht="15" hidden="false" customHeight="true" outlineLevel="0" collapsed="false">
      <c r="A46" s="50" t="n">
        <v>35</v>
      </c>
      <c r="B46" s="51"/>
      <c r="C46" s="51"/>
      <c r="D46" s="51"/>
      <c r="E46" s="51"/>
      <c r="F46" s="51"/>
      <c r="G46" s="51"/>
      <c r="H46" s="52" t="str">
        <f aca="false">IFERROR(IF(F46="","",F46*(1+G46)),"")</f>
        <v/>
      </c>
      <c r="I46" s="51"/>
      <c r="J46" s="51"/>
    </row>
    <row r="47" customFormat="false" ht="15" hidden="false" customHeight="true" outlineLevel="0" collapsed="false">
      <c r="A47" s="50" t="n">
        <v>36</v>
      </c>
      <c r="B47" s="51"/>
      <c r="C47" s="51"/>
      <c r="D47" s="51"/>
      <c r="E47" s="51"/>
      <c r="F47" s="51"/>
      <c r="G47" s="51"/>
      <c r="H47" s="52" t="str">
        <f aca="false">IFERROR(IF(F47="","",F47*(1+G47)),"")</f>
        <v/>
      </c>
      <c r="I47" s="51"/>
      <c r="J47" s="51"/>
    </row>
    <row r="48" customFormat="false" ht="15" hidden="false" customHeight="true" outlineLevel="0" collapsed="false">
      <c r="A48" s="50" t="n">
        <v>37</v>
      </c>
      <c r="B48" s="51"/>
      <c r="C48" s="51"/>
      <c r="D48" s="51"/>
      <c r="E48" s="51"/>
      <c r="F48" s="51"/>
      <c r="G48" s="51"/>
      <c r="H48" s="52" t="str">
        <f aca="false">IFERROR(IF(F48="","",F48*(1+G48)),"")</f>
        <v/>
      </c>
      <c r="I48" s="51"/>
      <c r="J48" s="51"/>
    </row>
    <row r="49" customFormat="false" ht="15" hidden="false" customHeight="true" outlineLevel="0" collapsed="false">
      <c r="A49" s="50" t="n">
        <v>38</v>
      </c>
      <c r="B49" s="51"/>
      <c r="C49" s="51"/>
      <c r="D49" s="51"/>
      <c r="E49" s="51"/>
      <c r="F49" s="51"/>
      <c r="G49" s="51"/>
      <c r="H49" s="52" t="str">
        <f aca="false">IFERROR(IF(F49="","",F49*(1+G49)),"")</f>
        <v/>
      </c>
      <c r="I49" s="51"/>
      <c r="J49" s="51"/>
    </row>
    <row r="50" customFormat="false" ht="15" hidden="false" customHeight="true" outlineLevel="0" collapsed="false">
      <c r="A50" s="50" t="n">
        <v>39</v>
      </c>
      <c r="B50" s="51"/>
      <c r="C50" s="51"/>
      <c r="D50" s="51"/>
      <c r="E50" s="51"/>
      <c r="F50" s="51"/>
      <c r="G50" s="51"/>
      <c r="H50" s="52" t="str">
        <f aca="false">IFERROR(IF(F50="","",F50*(1+G50)),"")</f>
        <v/>
      </c>
      <c r="I50" s="51"/>
      <c r="J50" s="51"/>
    </row>
    <row r="51" customFormat="false" ht="15" hidden="false" customHeight="true" outlineLevel="0" collapsed="false">
      <c r="A51" s="50" t="n">
        <v>40</v>
      </c>
      <c r="B51" s="51"/>
      <c r="C51" s="51"/>
      <c r="D51" s="51"/>
      <c r="E51" s="51"/>
      <c r="F51" s="51"/>
      <c r="G51" s="51"/>
      <c r="H51" s="52" t="str">
        <f aca="false">IFERROR(IF(F51="","",F51*(1+G51)),"")</f>
        <v/>
      </c>
      <c r="I51" s="51"/>
      <c r="J51" s="51"/>
    </row>
    <row r="52" customFormat="false" ht="15" hidden="false" customHeight="true" outlineLevel="0" collapsed="false">
      <c r="A52" s="50" t="n">
        <v>41</v>
      </c>
      <c r="B52" s="51"/>
      <c r="C52" s="51"/>
      <c r="D52" s="51"/>
      <c r="E52" s="51"/>
      <c r="F52" s="51"/>
      <c r="G52" s="51"/>
      <c r="H52" s="52" t="str">
        <f aca="false">IFERROR(IF(F52="","",F52*(1+G52)),"")</f>
        <v/>
      </c>
      <c r="I52" s="51"/>
      <c r="J52" s="51"/>
    </row>
    <row r="53" customFormat="false" ht="15" hidden="false" customHeight="true" outlineLevel="0" collapsed="false">
      <c r="A53" s="50" t="n">
        <v>42</v>
      </c>
      <c r="B53" s="51"/>
      <c r="C53" s="51"/>
      <c r="D53" s="51"/>
      <c r="E53" s="51"/>
      <c r="F53" s="51"/>
      <c r="G53" s="51"/>
      <c r="H53" s="52" t="str">
        <f aca="false">IFERROR(IF(F53="","",F53*(1+G53)),"")</f>
        <v/>
      </c>
      <c r="I53" s="51"/>
      <c r="J53" s="51"/>
    </row>
    <row r="54" customFormat="false" ht="15" hidden="false" customHeight="true" outlineLevel="0" collapsed="false">
      <c r="A54" s="50" t="n">
        <v>43</v>
      </c>
      <c r="B54" s="51"/>
      <c r="C54" s="51"/>
      <c r="D54" s="51"/>
      <c r="E54" s="51"/>
      <c r="F54" s="51"/>
      <c r="G54" s="51"/>
      <c r="H54" s="52" t="str">
        <f aca="false">IFERROR(IF(F54="","",F54*(1+G54)),"")</f>
        <v/>
      </c>
      <c r="I54" s="51"/>
      <c r="J54" s="51"/>
    </row>
    <row r="55" customFormat="false" ht="15" hidden="false" customHeight="true" outlineLevel="0" collapsed="false">
      <c r="A55" s="50" t="n">
        <v>44</v>
      </c>
      <c r="B55" s="51"/>
      <c r="C55" s="51"/>
      <c r="D55" s="51"/>
      <c r="E55" s="51"/>
      <c r="F55" s="51"/>
      <c r="G55" s="51"/>
      <c r="H55" s="52" t="str">
        <f aca="false">IFERROR(IF(F55="","",F55*(1+G55)),"")</f>
        <v/>
      </c>
      <c r="I55" s="51"/>
      <c r="J55" s="51"/>
    </row>
    <row r="56" customFormat="false" ht="15" hidden="false" customHeight="true" outlineLevel="0" collapsed="false">
      <c r="A56" s="50" t="n">
        <v>45</v>
      </c>
      <c r="B56" s="51"/>
      <c r="C56" s="51"/>
      <c r="D56" s="51"/>
      <c r="E56" s="51"/>
      <c r="F56" s="51"/>
      <c r="G56" s="51"/>
      <c r="H56" s="52" t="str">
        <f aca="false">IFERROR(IF(F56="","",F56*(1+G56)),"")</f>
        <v/>
      </c>
      <c r="I56" s="51"/>
      <c r="J56" s="51"/>
    </row>
    <row r="57" customFormat="false" ht="15" hidden="false" customHeight="true" outlineLevel="0" collapsed="false">
      <c r="A57" s="50" t="n">
        <v>46</v>
      </c>
      <c r="B57" s="51"/>
      <c r="C57" s="51"/>
      <c r="D57" s="51"/>
      <c r="E57" s="51"/>
      <c r="F57" s="51"/>
      <c r="G57" s="51"/>
      <c r="H57" s="52" t="str">
        <f aca="false">IFERROR(IF(F57="","",F57*(1+G57)),"")</f>
        <v/>
      </c>
      <c r="I57" s="51"/>
      <c r="J57" s="51"/>
    </row>
    <row r="58" customFormat="false" ht="15" hidden="false" customHeight="true" outlineLevel="0" collapsed="false">
      <c r="A58" s="50" t="n">
        <v>47</v>
      </c>
      <c r="B58" s="51"/>
      <c r="C58" s="51"/>
      <c r="D58" s="51"/>
      <c r="E58" s="51"/>
      <c r="F58" s="51"/>
      <c r="G58" s="51"/>
      <c r="H58" s="52" t="str">
        <f aca="false">IFERROR(IF(F58="","",F58*(1+G58)),"")</f>
        <v/>
      </c>
      <c r="I58" s="51"/>
      <c r="J58" s="51"/>
    </row>
    <row r="59" customFormat="false" ht="15" hidden="false" customHeight="true" outlineLevel="0" collapsed="false">
      <c r="A59" s="50" t="n">
        <v>48</v>
      </c>
      <c r="B59" s="51"/>
      <c r="C59" s="51"/>
      <c r="D59" s="51"/>
      <c r="E59" s="51"/>
      <c r="F59" s="51"/>
      <c r="G59" s="51"/>
      <c r="H59" s="52" t="str">
        <f aca="false">IFERROR(IF(F59="","",F59*(1+G59)),"")</f>
        <v/>
      </c>
      <c r="I59" s="51"/>
      <c r="J59" s="51"/>
    </row>
    <row r="60" customFormat="false" ht="15" hidden="false" customHeight="true" outlineLevel="0" collapsed="false">
      <c r="A60" s="50" t="n">
        <v>49</v>
      </c>
      <c r="B60" s="51"/>
      <c r="C60" s="51"/>
      <c r="D60" s="51"/>
      <c r="E60" s="51"/>
      <c r="F60" s="51"/>
      <c r="G60" s="51"/>
      <c r="H60" s="52" t="str">
        <f aca="false">IFERROR(IF(F60="","",F60*(1+G60)),"")</f>
        <v/>
      </c>
      <c r="I60" s="51"/>
      <c r="J60" s="51"/>
    </row>
    <row r="61" customFormat="false" ht="15" hidden="false" customHeight="true" outlineLevel="0" collapsed="false">
      <c r="A61" s="50" t="n">
        <v>50</v>
      </c>
      <c r="B61" s="51"/>
      <c r="C61" s="51"/>
      <c r="D61" s="51"/>
      <c r="E61" s="51"/>
      <c r="F61" s="51"/>
      <c r="G61" s="51"/>
      <c r="H61" s="52" t="str">
        <f aca="false">IFERROR(IF(F61="","",F61*(1+G61)),"")</f>
        <v/>
      </c>
      <c r="I61" s="51"/>
      <c r="J61" s="51"/>
    </row>
    <row r="62" customFormat="false" ht="15" hidden="false" customHeight="true" outlineLevel="0" collapsed="false">
      <c r="A62" s="50" t="n">
        <v>51</v>
      </c>
      <c r="B62" s="51"/>
      <c r="C62" s="51"/>
      <c r="D62" s="51"/>
      <c r="E62" s="51"/>
      <c r="F62" s="51"/>
      <c r="G62" s="51"/>
      <c r="H62" s="52" t="str">
        <f aca="false">IFERROR(IF(F62="","",F62*(1+G62)),"")</f>
        <v/>
      </c>
      <c r="I62" s="51"/>
      <c r="J62" s="51"/>
    </row>
    <row r="63" customFormat="false" ht="15" hidden="false" customHeight="true" outlineLevel="0" collapsed="false">
      <c r="A63" s="50" t="n">
        <v>52</v>
      </c>
      <c r="B63" s="51"/>
      <c r="C63" s="51"/>
      <c r="D63" s="51"/>
      <c r="E63" s="51"/>
      <c r="F63" s="51"/>
      <c r="G63" s="51"/>
      <c r="H63" s="52" t="str">
        <f aca="false">IFERROR(IF(F63="","",F63*(1+G63)),"")</f>
        <v/>
      </c>
      <c r="I63" s="51"/>
      <c r="J63" s="51"/>
    </row>
    <row r="64" customFormat="false" ht="15" hidden="false" customHeight="true" outlineLevel="0" collapsed="false">
      <c r="A64" s="50" t="n">
        <v>53</v>
      </c>
      <c r="B64" s="51"/>
      <c r="C64" s="51"/>
      <c r="D64" s="51"/>
      <c r="E64" s="51"/>
      <c r="F64" s="51"/>
      <c r="G64" s="51"/>
      <c r="H64" s="52" t="str">
        <f aca="false">IFERROR(IF(F64="","",F64*(1+G64)),"")</f>
        <v/>
      </c>
      <c r="I64" s="51"/>
      <c r="J64" s="51"/>
    </row>
    <row r="65" customFormat="false" ht="15" hidden="false" customHeight="true" outlineLevel="0" collapsed="false">
      <c r="A65" s="50" t="n">
        <v>54</v>
      </c>
      <c r="B65" s="51"/>
      <c r="C65" s="51"/>
      <c r="D65" s="51"/>
      <c r="E65" s="51"/>
      <c r="F65" s="51"/>
      <c r="G65" s="51"/>
      <c r="H65" s="52" t="str">
        <f aca="false">IFERROR(IF(F65="","",F65*(1+G65)),"")</f>
        <v/>
      </c>
      <c r="I65" s="51"/>
      <c r="J65" s="51"/>
    </row>
    <row r="66" customFormat="false" ht="15" hidden="false" customHeight="true" outlineLevel="0" collapsed="false">
      <c r="A66" s="50" t="n">
        <v>55</v>
      </c>
      <c r="B66" s="51"/>
      <c r="C66" s="51"/>
      <c r="D66" s="51"/>
      <c r="E66" s="51"/>
      <c r="F66" s="51"/>
      <c r="G66" s="51"/>
      <c r="H66" s="52" t="str">
        <f aca="false">IFERROR(IF(F66="","",F66*(1+G66)),"")</f>
        <v/>
      </c>
      <c r="I66" s="51"/>
      <c r="J66" s="51"/>
    </row>
    <row r="67" customFormat="false" ht="15" hidden="false" customHeight="true" outlineLevel="0" collapsed="false">
      <c r="A67" s="50" t="n">
        <v>56</v>
      </c>
      <c r="B67" s="51"/>
      <c r="C67" s="51"/>
      <c r="D67" s="51"/>
      <c r="E67" s="51"/>
      <c r="F67" s="51"/>
      <c r="G67" s="51"/>
      <c r="H67" s="52" t="str">
        <f aca="false">IFERROR(IF(F67="","",F67*(1+G67)),"")</f>
        <v/>
      </c>
      <c r="I67" s="51"/>
      <c r="J67" s="51"/>
    </row>
    <row r="68" customFormat="false" ht="15" hidden="false" customHeight="true" outlineLevel="0" collapsed="false">
      <c r="A68" s="50" t="n">
        <v>57</v>
      </c>
      <c r="B68" s="51"/>
      <c r="C68" s="51"/>
      <c r="D68" s="51"/>
      <c r="E68" s="51"/>
      <c r="F68" s="51"/>
      <c r="G68" s="51"/>
      <c r="H68" s="52" t="str">
        <f aca="false">IFERROR(IF(F68="","",F68*(1+G68)),"")</f>
        <v/>
      </c>
      <c r="I68" s="51"/>
      <c r="J68" s="51"/>
    </row>
    <row r="69" customFormat="false" ht="15" hidden="false" customHeight="true" outlineLevel="0" collapsed="false">
      <c r="A69" s="50" t="n">
        <v>58</v>
      </c>
      <c r="B69" s="51"/>
      <c r="C69" s="51"/>
      <c r="D69" s="51"/>
      <c r="E69" s="51"/>
      <c r="F69" s="51"/>
      <c r="G69" s="51"/>
      <c r="H69" s="52" t="str">
        <f aca="false">IFERROR(IF(F69="","",F69*(1+G69)),"")</f>
        <v/>
      </c>
      <c r="I69" s="51"/>
      <c r="J69" s="51"/>
    </row>
    <row r="70" customFormat="false" ht="15" hidden="false" customHeight="true" outlineLevel="0" collapsed="false">
      <c r="A70" s="50" t="n">
        <v>59</v>
      </c>
      <c r="B70" s="51"/>
      <c r="C70" s="51"/>
      <c r="D70" s="51"/>
      <c r="E70" s="51"/>
      <c r="F70" s="51"/>
      <c r="G70" s="51"/>
      <c r="H70" s="52" t="str">
        <f aca="false">IFERROR(IF(F70="","",F70*(1+G70)),"")</f>
        <v/>
      </c>
      <c r="I70" s="51"/>
      <c r="J70" s="51"/>
    </row>
    <row r="71" customFormat="false" ht="15" hidden="false" customHeight="true" outlineLevel="0" collapsed="false">
      <c r="A71" s="50" t="n">
        <v>60</v>
      </c>
      <c r="B71" s="51"/>
      <c r="C71" s="51"/>
      <c r="D71" s="51"/>
      <c r="E71" s="51"/>
      <c r="F71" s="51"/>
      <c r="G71" s="51"/>
      <c r="H71" s="52" t="str">
        <f aca="false">IFERROR(IF(F71="","",F71*(1+G71)),"")</f>
        <v/>
      </c>
      <c r="I71" s="51"/>
      <c r="J71" s="51"/>
    </row>
    <row r="72" customFormat="false" ht="15" hidden="false" customHeight="true" outlineLevel="0" collapsed="false">
      <c r="A72" s="50" t="n">
        <v>61</v>
      </c>
      <c r="B72" s="51"/>
      <c r="C72" s="51"/>
      <c r="D72" s="51"/>
      <c r="E72" s="51"/>
      <c r="F72" s="51"/>
      <c r="G72" s="51"/>
      <c r="H72" s="52" t="str">
        <f aca="false">IFERROR(IF(F72="","",F72*(1+G72)),"")</f>
        <v/>
      </c>
      <c r="I72" s="51"/>
      <c r="J72" s="51"/>
    </row>
    <row r="73" customFormat="false" ht="15" hidden="false" customHeight="true" outlineLevel="0" collapsed="false">
      <c r="A73" s="50" t="n">
        <v>62</v>
      </c>
      <c r="B73" s="51"/>
      <c r="C73" s="51"/>
      <c r="D73" s="51"/>
      <c r="E73" s="51"/>
      <c r="F73" s="51"/>
      <c r="G73" s="51"/>
      <c r="H73" s="52" t="str">
        <f aca="false">IFERROR(IF(F73="","",F73*(1+G73)),"")</f>
        <v/>
      </c>
      <c r="I73" s="51"/>
      <c r="J73" s="51"/>
    </row>
    <row r="74" customFormat="false" ht="15" hidden="false" customHeight="true" outlineLevel="0" collapsed="false">
      <c r="A74" s="50" t="n">
        <v>63</v>
      </c>
      <c r="B74" s="51"/>
      <c r="C74" s="51"/>
      <c r="D74" s="51"/>
      <c r="E74" s="51"/>
      <c r="F74" s="51"/>
      <c r="G74" s="51"/>
      <c r="H74" s="52" t="str">
        <f aca="false">IFERROR(IF(F74="","",F74*(1+G74)),"")</f>
        <v/>
      </c>
      <c r="I74" s="51"/>
      <c r="J74" s="51"/>
    </row>
    <row r="75" customFormat="false" ht="15" hidden="false" customHeight="true" outlineLevel="0" collapsed="false">
      <c r="A75" s="50" t="n">
        <v>64</v>
      </c>
      <c r="B75" s="51"/>
      <c r="C75" s="51"/>
      <c r="D75" s="51"/>
      <c r="E75" s="51"/>
      <c r="F75" s="51"/>
      <c r="G75" s="51"/>
      <c r="H75" s="52" t="str">
        <f aca="false">IFERROR(IF(F75="","",F75*(1+G75)),"")</f>
        <v/>
      </c>
      <c r="I75" s="51"/>
      <c r="J75" s="51"/>
    </row>
    <row r="76" customFormat="false" ht="15" hidden="false" customHeight="true" outlineLevel="0" collapsed="false">
      <c r="A76" s="50" t="n">
        <v>65</v>
      </c>
      <c r="B76" s="51"/>
      <c r="C76" s="51"/>
      <c r="D76" s="51"/>
      <c r="E76" s="51"/>
      <c r="F76" s="51"/>
      <c r="G76" s="51"/>
      <c r="H76" s="52" t="str">
        <f aca="false">IFERROR(IF(F76="","",F76*(1+G76)),"")</f>
        <v/>
      </c>
      <c r="I76" s="51"/>
      <c r="J76" s="51"/>
    </row>
    <row r="77" customFormat="false" ht="15" hidden="false" customHeight="true" outlineLevel="0" collapsed="false">
      <c r="A77" s="50" t="n">
        <v>66</v>
      </c>
      <c r="B77" s="51"/>
      <c r="C77" s="51"/>
      <c r="D77" s="51"/>
      <c r="E77" s="51"/>
      <c r="F77" s="51"/>
      <c r="G77" s="51"/>
      <c r="H77" s="52" t="str">
        <f aca="false">IFERROR(IF(F77="","",F77*(1+G77)),"")</f>
        <v/>
      </c>
      <c r="I77" s="51"/>
      <c r="J77" s="51"/>
    </row>
    <row r="78" customFormat="false" ht="15" hidden="false" customHeight="true" outlineLevel="0" collapsed="false">
      <c r="A78" s="50" t="n">
        <v>67</v>
      </c>
      <c r="B78" s="51"/>
      <c r="C78" s="51"/>
      <c r="D78" s="51"/>
      <c r="E78" s="51"/>
      <c r="F78" s="51"/>
      <c r="G78" s="51"/>
      <c r="H78" s="52" t="str">
        <f aca="false">IFERROR(IF(F78="","",F78*(1+G78)),"")</f>
        <v/>
      </c>
      <c r="I78" s="51"/>
      <c r="J78" s="51"/>
    </row>
    <row r="79" customFormat="false" ht="15" hidden="false" customHeight="true" outlineLevel="0" collapsed="false">
      <c r="A79" s="50" t="n">
        <v>68</v>
      </c>
      <c r="B79" s="51"/>
      <c r="C79" s="51"/>
      <c r="D79" s="51"/>
      <c r="E79" s="51"/>
      <c r="F79" s="51"/>
      <c r="G79" s="51"/>
      <c r="H79" s="52" t="str">
        <f aca="false">IFERROR(IF(F79="","",F79*(1+G79)),"")</f>
        <v/>
      </c>
      <c r="I79" s="51"/>
      <c r="J79" s="51"/>
    </row>
    <row r="80" customFormat="false" ht="15" hidden="false" customHeight="true" outlineLevel="0" collapsed="false">
      <c r="A80" s="50" t="n">
        <v>69</v>
      </c>
      <c r="B80" s="51"/>
      <c r="C80" s="51"/>
      <c r="D80" s="51"/>
      <c r="E80" s="51"/>
      <c r="F80" s="51"/>
      <c r="G80" s="51"/>
      <c r="H80" s="52" t="str">
        <f aca="false">IFERROR(IF(F80="","",F80*(1+G80)),"")</f>
        <v/>
      </c>
      <c r="I80" s="51"/>
      <c r="J80" s="51"/>
    </row>
    <row r="81" customFormat="false" ht="15" hidden="false" customHeight="true" outlineLevel="0" collapsed="false">
      <c r="A81" s="50" t="n">
        <v>70</v>
      </c>
      <c r="B81" s="51"/>
      <c r="C81" s="51"/>
      <c r="D81" s="51"/>
      <c r="E81" s="51"/>
      <c r="F81" s="51"/>
      <c r="G81" s="51"/>
      <c r="H81" s="52" t="str">
        <f aca="false">IFERROR(IF(F81="","",F81*(1+G81)),"")</f>
        <v/>
      </c>
      <c r="I81" s="51"/>
      <c r="J81" s="51"/>
    </row>
    <row r="82" customFormat="false" ht="15" hidden="false" customHeight="true" outlineLevel="0" collapsed="false">
      <c r="A82" s="50" t="n">
        <v>71</v>
      </c>
      <c r="B82" s="51"/>
      <c r="C82" s="51"/>
      <c r="D82" s="51"/>
      <c r="E82" s="51"/>
      <c r="F82" s="51"/>
      <c r="G82" s="51"/>
      <c r="H82" s="52" t="str">
        <f aca="false">IFERROR(IF(F82="","",F82*(1+G82)),"")</f>
        <v/>
      </c>
      <c r="I82" s="51"/>
      <c r="J82" s="51"/>
    </row>
    <row r="83" customFormat="false" ht="15" hidden="false" customHeight="true" outlineLevel="0" collapsed="false">
      <c r="A83" s="50" t="n">
        <v>72</v>
      </c>
      <c r="B83" s="51"/>
      <c r="C83" s="51"/>
      <c r="D83" s="51"/>
      <c r="E83" s="51"/>
      <c r="F83" s="51"/>
      <c r="G83" s="51"/>
      <c r="H83" s="52" t="str">
        <f aca="false">IFERROR(IF(F83="","",F83*(1+G83)),"")</f>
        <v/>
      </c>
      <c r="I83" s="51"/>
      <c r="J83" s="51"/>
    </row>
    <row r="84" customFormat="false" ht="15" hidden="false" customHeight="true" outlineLevel="0" collapsed="false">
      <c r="A84" s="50" t="n">
        <v>73</v>
      </c>
      <c r="B84" s="51"/>
      <c r="C84" s="51"/>
      <c r="D84" s="51"/>
      <c r="E84" s="51"/>
      <c r="F84" s="51"/>
      <c r="G84" s="51"/>
      <c r="H84" s="52" t="str">
        <f aca="false">IFERROR(IF(F84="","",F84*(1+G84)),"")</f>
        <v/>
      </c>
      <c r="I84" s="51"/>
      <c r="J84" s="51"/>
    </row>
    <row r="85" customFormat="false" ht="15" hidden="false" customHeight="true" outlineLevel="0" collapsed="false">
      <c r="A85" s="50" t="n">
        <v>74</v>
      </c>
      <c r="B85" s="51"/>
      <c r="C85" s="51"/>
      <c r="D85" s="51"/>
      <c r="E85" s="51"/>
      <c r="F85" s="51"/>
      <c r="G85" s="51"/>
      <c r="H85" s="52" t="str">
        <f aca="false">IFERROR(IF(F85="","",F85*(1+G85)),"")</f>
        <v/>
      </c>
      <c r="I85" s="51"/>
      <c r="J85" s="51"/>
    </row>
    <row r="86" customFormat="false" ht="15" hidden="false" customHeight="true" outlineLevel="0" collapsed="false">
      <c r="A86" s="50" t="n">
        <v>75</v>
      </c>
      <c r="B86" s="51"/>
      <c r="C86" s="51"/>
      <c r="D86" s="51"/>
      <c r="E86" s="51"/>
      <c r="F86" s="51"/>
      <c r="G86" s="51"/>
      <c r="H86" s="52" t="str">
        <f aca="false">IFERROR(IF(F86="","",F86*(1+G86)),"")</f>
        <v/>
      </c>
      <c r="I86" s="51"/>
      <c r="J86" s="51"/>
    </row>
    <row r="87" customFormat="false" ht="15" hidden="false" customHeight="true" outlineLevel="0" collapsed="false">
      <c r="A87" s="50" t="n">
        <v>76</v>
      </c>
      <c r="B87" s="51"/>
      <c r="C87" s="51"/>
      <c r="D87" s="51"/>
      <c r="E87" s="51"/>
      <c r="F87" s="51"/>
      <c r="G87" s="51"/>
      <c r="H87" s="52" t="str">
        <f aca="false">IFERROR(IF(F87="","",F87*(1+G87)),"")</f>
        <v/>
      </c>
      <c r="I87" s="51"/>
      <c r="J87" s="51"/>
    </row>
    <row r="88" customFormat="false" ht="15" hidden="false" customHeight="true" outlineLevel="0" collapsed="false">
      <c r="A88" s="50" t="n">
        <v>77</v>
      </c>
      <c r="B88" s="51"/>
      <c r="C88" s="51"/>
      <c r="D88" s="51"/>
      <c r="E88" s="51"/>
      <c r="F88" s="51"/>
      <c r="G88" s="51"/>
      <c r="H88" s="52" t="str">
        <f aca="false">IFERROR(IF(F88="","",F88*(1+G88)),"")</f>
        <v/>
      </c>
      <c r="I88" s="51"/>
      <c r="J88" s="51"/>
    </row>
    <row r="89" customFormat="false" ht="15" hidden="false" customHeight="true" outlineLevel="0" collapsed="false">
      <c r="A89" s="50" t="n">
        <v>78</v>
      </c>
      <c r="B89" s="51"/>
      <c r="C89" s="51"/>
      <c r="D89" s="51"/>
      <c r="E89" s="51"/>
      <c r="F89" s="51"/>
      <c r="G89" s="51"/>
      <c r="H89" s="52" t="str">
        <f aca="false">IFERROR(IF(F89="","",F89*(1+G89)),"")</f>
        <v/>
      </c>
      <c r="I89" s="51"/>
      <c r="J89" s="51"/>
    </row>
    <row r="90" customFormat="false" ht="15" hidden="false" customHeight="true" outlineLevel="0" collapsed="false">
      <c r="A90" s="50" t="n">
        <v>79</v>
      </c>
      <c r="B90" s="51"/>
      <c r="C90" s="51"/>
      <c r="D90" s="51"/>
      <c r="E90" s="51"/>
      <c r="F90" s="51"/>
      <c r="G90" s="51"/>
      <c r="H90" s="52" t="str">
        <f aca="false">IFERROR(IF(F90="","",F90*(1+G90)),"")</f>
        <v/>
      </c>
      <c r="I90" s="51"/>
      <c r="J90" s="51"/>
    </row>
    <row r="91" customFormat="false" ht="15" hidden="false" customHeight="true" outlineLevel="0" collapsed="false">
      <c r="A91" s="50" t="n">
        <v>80</v>
      </c>
      <c r="B91" s="51"/>
      <c r="C91" s="51"/>
      <c r="D91" s="51"/>
      <c r="E91" s="51"/>
      <c r="F91" s="51"/>
      <c r="G91" s="51"/>
      <c r="H91" s="52" t="str">
        <f aca="false">IFERROR(IF(F91="","",F91*(1+G91)),"")</f>
        <v/>
      </c>
      <c r="I91" s="51"/>
      <c r="J91" s="51"/>
    </row>
    <row r="92" customFormat="false" ht="15" hidden="false" customHeight="true" outlineLevel="0" collapsed="false">
      <c r="A92" s="50" t="n">
        <v>81</v>
      </c>
      <c r="B92" s="51"/>
      <c r="C92" s="51"/>
      <c r="D92" s="51"/>
      <c r="E92" s="51"/>
      <c r="F92" s="51"/>
      <c r="G92" s="51"/>
      <c r="H92" s="52" t="str">
        <f aca="false">IFERROR(IF(F92="","",F92*(1+G92)),"")</f>
        <v/>
      </c>
      <c r="I92" s="51"/>
      <c r="J92" s="51"/>
    </row>
    <row r="93" customFormat="false" ht="15" hidden="false" customHeight="true" outlineLevel="0" collapsed="false">
      <c r="A93" s="50" t="n">
        <v>82</v>
      </c>
      <c r="B93" s="51"/>
      <c r="C93" s="51"/>
      <c r="D93" s="51"/>
      <c r="E93" s="51"/>
      <c r="F93" s="51"/>
      <c r="G93" s="51"/>
      <c r="H93" s="52" t="str">
        <f aca="false">IFERROR(IF(F93="","",F93*(1+G93)),"")</f>
        <v/>
      </c>
      <c r="I93" s="51"/>
      <c r="J93" s="51"/>
    </row>
    <row r="94" customFormat="false" ht="15" hidden="false" customHeight="true" outlineLevel="0" collapsed="false">
      <c r="A94" s="50" t="n">
        <v>83</v>
      </c>
      <c r="B94" s="51"/>
      <c r="C94" s="51"/>
      <c r="D94" s="51"/>
      <c r="E94" s="51"/>
      <c r="F94" s="51"/>
      <c r="G94" s="51"/>
      <c r="H94" s="52" t="str">
        <f aca="false">IFERROR(IF(F94="","",F94*(1+G94)),"")</f>
        <v/>
      </c>
      <c r="I94" s="51"/>
      <c r="J94" s="51"/>
    </row>
    <row r="95" customFormat="false" ht="15" hidden="false" customHeight="true" outlineLevel="0" collapsed="false">
      <c r="A95" s="50" t="n">
        <v>84</v>
      </c>
      <c r="B95" s="51"/>
      <c r="C95" s="51"/>
      <c r="D95" s="51"/>
      <c r="E95" s="51"/>
      <c r="F95" s="51"/>
      <c r="G95" s="51"/>
      <c r="H95" s="52" t="str">
        <f aca="false">IFERROR(IF(F95="","",F95*(1+G95)),"")</f>
        <v/>
      </c>
      <c r="I95" s="51"/>
      <c r="J95" s="51"/>
    </row>
    <row r="96" customFormat="false" ht="15" hidden="false" customHeight="true" outlineLevel="0" collapsed="false">
      <c r="A96" s="50" t="n">
        <v>85</v>
      </c>
      <c r="B96" s="51"/>
      <c r="C96" s="51"/>
      <c r="D96" s="51"/>
      <c r="E96" s="51"/>
      <c r="F96" s="51"/>
      <c r="G96" s="51"/>
      <c r="H96" s="52" t="str">
        <f aca="false">IFERROR(IF(F96="","",F96*(1+G96)),"")</f>
        <v/>
      </c>
      <c r="I96" s="51"/>
      <c r="J96" s="51"/>
    </row>
    <row r="97" customFormat="false" ht="15" hidden="false" customHeight="true" outlineLevel="0" collapsed="false">
      <c r="A97" s="50" t="n">
        <v>86</v>
      </c>
      <c r="B97" s="51"/>
      <c r="C97" s="51"/>
      <c r="D97" s="51"/>
      <c r="E97" s="51"/>
      <c r="F97" s="51"/>
      <c r="G97" s="51"/>
      <c r="H97" s="52" t="str">
        <f aca="false">IFERROR(IF(F97="","",F97*(1+G97)),"")</f>
        <v/>
      </c>
      <c r="I97" s="51"/>
      <c r="J97" s="51"/>
    </row>
    <row r="98" customFormat="false" ht="15" hidden="false" customHeight="true" outlineLevel="0" collapsed="false">
      <c r="A98" s="50" t="n">
        <v>87</v>
      </c>
      <c r="B98" s="51"/>
      <c r="C98" s="51"/>
      <c r="D98" s="51"/>
      <c r="E98" s="51"/>
      <c r="F98" s="51"/>
      <c r="G98" s="51"/>
      <c r="H98" s="52" t="str">
        <f aca="false">IFERROR(IF(F98="","",F98*(1+G98)),"")</f>
        <v/>
      </c>
      <c r="I98" s="51"/>
      <c r="J98" s="51"/>
    </row>
    <row r="99" customFormat="false" ht="15" hidden="false" customHeight="true" outlineLevel="0" collapsed="false">
      <c r="A99" s="50" t="n">
        <v>88</v>
      </c>
      <c r="B99" s="51"/>
      <c r="C99" s="51"/>
      <c r="D99" s="51"/>
      <c r="E99" s="51"/>
      <c r="F99" s="51"/>
      <c r="G99" s="51"/>
      <c r="H99" s="52" t="str">
        <f aca="false">IFERROR(IF(F99="","",F99*(1+G99)),"")</f>
        <v/>
      </c>
      <c r="I99" s="51"/>
      <c r="J99" s="51"/>
    </row>
    <row r="100" customFormat="false" ht="15" hidden="false" customHeight="true" outlineLevel="0" collapsed="false">
      <c r="A100" s="50" t="n">
        <v>89</v>
      </c>
      <c r="B100" s="51"/>
      <c r="C100" s="51"/>
      <c r="D100" s="51"/>
      <c r="E100" s="51"/>
      <c r="F100" s="51"/>
      <c r="G100" s="51"/>
      <c r="H100" s="52" t="str">
        <f aca="false">IFERROR(IF(F100="","",F100*(1+G100)),"")</f>
        <v/>
      </c>
      <c r="I100" s="51"/>
      <c r="J100" s="51"/>
    </row>
  </sheetData>
  <mergeCells count="4">
    <mergeCell ref="A1:J1"/>
    <mergeCell ref="A2:J2"/>
    <mergeCell ref="A4:J4"/>
    <mergeCell ref="A10:J10"/>
  </mergeCells>
  <dataValidations count="3">
    <dataValidation allowBlank="true" errorStyle="stop" operator="between" showDropDown="false" showErrorMessage="false" showInputMessage="false" sqref="C12:C500" type="list">
      <formula1>"Travel,Software/IT,Consulting,Marketing,Payroll,Rent/Utilities,Legal,Tax &amp; Compliance,Other"</formula1>
      <formula2>0</formula2>
    </dataValidation>
    <dataValidation allowBlank="true" errorStyle="stop" operator="between" showDropDown="false" showErrorMessage="false" showInputMessage="false" sqref="J12:J500" type="list">
      <formula1>"Yes,No,Pending"</formula1>
      <formula2>0</formula2>
    </dataValidation>
    <dataValidation allowBlank="true" errorStyle="stop" operator="between" showDropDown="false" showErrorMessage="false" showInputMessage="false" sqref="E12:E500" type="list">
      <formula1>"Poland,Cameroon,Nigeria,France,Germany,Belgium,UK,Other"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&amp;CAFRIQUEEUROPECONNEXIONVMETC (AEC)  |  Kraków · Douala · Abuja  |  ArmelSandjong@afriqueeuropeconnexionvmetc.com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6"/>
  </cols>
  <sheetData>
    <row r="1" customFormat="false" ht="36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87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13" t="s">
        <v>88</v>
      </c>
      <c r="B4" s="13"/>
      <c r="C4" s="13"/>
      <c r="D4" s="13"/>
      <c r="E4" s="13"/>
      <c r="F4" s="13"/>
      <c r="G4" s="13"/>
      <c r="H4" s="13"/>
    </row>
    <row r="5" customFormat="false" ht="30" hidden="false" customHeight="true" outlineLevel="0" collapsed="false">
      <c r="B5" s="34" t="s">
        <v>89</v>
      </c>
      <c r="C5" s="34" t="s">
        <v>48</v>
      </c>
      <c r="D5" s="34" t="s">
        <v>90</v>
      </c>
      <c r="E5" s="34" t="s">
        <v>54</v>
      </c>
      <c r="F5" s="34" t="s">
        <v>91</v>
      </c>
      <c r="G5" s="34" t="s">
        <v>92</v>
      </c>
      <c r="H5" s="34" t="s">
        <v>93</v>
      </c>
    </row>
    <row r="6" customFormat="false" ht="34.5" hidden="false" customHeight="true" outlineLevel="0" collapsed="false">
      <c r="B6" s="53" t="n">
        <f aca="false">'Expense Tracker'!D6</f>
        <v>244839.5</v>
      </c>
      <c r="C6" s="53" t="n">
        <f aca="false">'Expense Tracker'!C6</f>
        <v>0.7325</v>
      </c>
      <c r="D6" s="53" t="n">
        <f aca="false">'Expense Tracker'!B6</f>
        <v>205450</v>
      </c>
      <c r="E6" s="53" t="n">
        <f aca="false">'Expense Tracker'!I6</f>
        <v>10000</v>
      </c>
      <c r="F6" s="53" t="n">
        <f aca="false">'Expense Tracker'!J6</f>
        <v>-234839.5</v>
      </c>
      <c r="G6" s="53" t="n">
        <f aca="false">'Expense Tracker'!E6</f>
        <v>1296</v>
      </c>
      <c r="H6" s="53" t="n">
        <f aca="false">'Expense Tracker'!F6</f>
        <v>553.5</v>
      </c>
    </row>
    <row r="9" customFormat="false" ht="21.75" hidden="false" customHeight="true" outlineLevel="0" collapsed="false">
      <c r="A9" s="4" t="s">
        <v>94</v>
      </c>
      <c r="B9" s="4"/>
      <c r="C9" s="4"/>
      <c r="D9" s="4"/>
      <c r="E9" s="5" t="s">
        <v>95</v>
      </c>
      <c r="F9" s="5"/>
      <c r="G9" s="5"/>
      <c r="H9" s="5"/>
    </row>
    <row r="10" customFormat="false" ht="15" hidden="false" customHeight="true" outlineLevel="0" collapsed="false">
      <c r="A10" s="54" t="s">
        <v>50</v>
      </c>
      <c r="B10" s="43" t="n">
        <f aca="false">IFERROR(SUMIF('Expense Tracker'!C12:C500,A10,'Expense Tracker'!H12:H500),0)</f>
        <v>1296</v>
      </c>
      <c r="C10" s="55" t="n">
        <f aca="false">IFERROR(B10/'Expense Tracker'!D6,0)</f>
        <v>0.00529326354611899</v>
      </c>
      <c r="D10" s="18"/>
      <c r="E10" s="54" t="s">
        <v>68</v>
      </c>
      <c r="F10" s="43" t="n">
        <f aca="false">IFERROR(SUMIF('Expense Tracker'!E12:E500,E10,'Expense Tracker'!H12:H500),0)</f>
        <v>5539.5</v>
      </c>
      <c r="G10" s="55" t="n">
        <f aca="false">IFERROR(F10/'Expense Tracker'!D6,0)</f>
        <v>0.0226250257821961</v>
      </c>
      <c r="H10" s="18"/>
    </row>
    <row r="11" customFormat="false" ht="15" hidden="false" customHeight="true" outlineLevel="0" collapsed="false">
      <c r="A11" s="54" t="s">
        <v>51</v>
      </c>
      <c r="B11" s="43" t="n">
        <f aca="false">IFERROR(SUMIF('Expense Tracker'!C12:C500,A11,'Expense Tracker'!H12:H500),0)</f>
        <v>553.5</v>
      </c>
      <c r="C11" s="55" t="n">
        <f aca="false">IFERROR(B11/'Expense Tracker'!D6,0)</f>
        <v>0.00226066463948832</v>
      </c>
      <c r="D11" s="18"/>
      <c r="E11" s="54" t="s">
        <v>84</v>
      </c>
      <c r="F11" s="43" t="n">
        <f aca="false">IFERROR(SUMIF('Expense Tracker'!E12:E500,E11,'Expense Tracker'!H12:H500),0)</f>
        <v>238500</v>
      </c>
      <c r="G11" s="55" t="n">
        <f aca="false">IFERROR(F11/'Expense Tracker'!D6,0)</f>
        <v>0.974107527584397</v>
      </c>
      <c r="H11" s="18"/>
    </row>
    <row r="12" customFormat="false" ht="15" hidden="false" customHeight="true" outlineLevel="0" collapsed="false">
      <c r="A12" s="54" t="s">
        <v>52</v>
      </c>
      <c r="B12" s="43" t="n">
        <f aca="false">IFERROR(SUMIF('Expense Tracker'!C12:C500,A12,'Expense Tracker'!H12:H500),0)</f>
        <v>3690</v>
      </c>
      <c r="C12" s="55" t="n">
        <f aca="false">IFERROR(B12/'Expense Tracker'!D6,0)</f>
        <v>0.0150710975965888</v>
      </c>
      <c r="D12" s="18"/>
      <c r="E12" s="54" t="s">
        <v>96</v>
      </c>
      <c r="F12" s="43" t="n">
        <f aca="false">IFERROR(SUMIF('Expense Tracker'!E12:E500,E12,'Expense Tracker'!H12:H500),0)</f>
        <v>0</v>
      </c>
      <c r="G12" s="55" t="n">
        <f aca="false">IFERROR(F12/'Expense Tracker'!D6,0)</f>
        <v>0</v>
      </c>
      <c r="H12" s="18"/>
    </row>
    <row r="13" customFormat="false" ht="15" hidden="false" customHeight="true" outlineLevel="0" collapsed="false">
      <c r="A13" s="54" t="s">
        <v>78</v>
      </c>
      <c r="B13" s="43" t="n">
        <f aca="false">IFERROR(SUMIF('Expense Tracker'!C12:C500,A13,'Expense Tracker'!H12:H500),0)</f>
        <v>800</v>
      </c>
      <c r="C13" s="55" t="n">
        <f aca="false">IFERROR(B13/'Expense Tracker'!D6,0)</f>
        <v>0.00326744663340678</v>
      </c>
      <c r="D13" s="18"/>
      <c r="E13" s="54" t="s">
        <v>97</v>
      </c>
      <c r="F13" s="43" t="n">
        <f aca="false">IFERROR(SUMIF('Expense Tracker'!E12:E500,E13,'Expense Tracker'!H12:H500),0)</f>
        <v>0</v>
      </c>
      <c r="G13" s="55" t="n">
        <f aca="false">IFERROR(F13/'Expense Tracker'!D6,0)</f>
        <v>0</v>
      </c>
      <c r="H13" s="18"/>
    </row>
    <row r="14" customFormat="false" ht="15" hidden="false" customHeight="true" outlineLevel="0" collapsed="false">
      <c r="A14" s="54" t="s">
        <v>98</v>
      </c>
      <c r="B14" s="43" t="n">
        <f aca="false">IFERROR(SUMIF('Expense Tracker'!C12:C500,A14,'Expense Tracker'!H12:H500),0)</f>
        <v>0</v>
      </c>
      <c r="C14" s="55" t="n">
        <f aca="false">IFERROR(B14/'Expense Tracker'!D6,0)</f>
        <v>0</v>
      </c>
      <c r="D14" s="18"/>
      <c r="E14" s="54" t="s">
        <v>99</v>
      </c>
      <c r="F14" s="43" t="n">
        <f aca="false">IFERROR(SUMIF('Expense Tracker'!E12:E500,E14,'Expense Tracker'!H12:H500),0)</f>
        <v>0</v>
      </c>
      <c r="G14" s="55" t="n">
        <f aca="false">IFERROR(F14/'Expense Tracker'!D6,0)</f>
        <v>0</v>
      </c>
      <c r="H14" s="18"/>
    </row>
    <row r="15" customFormat="false" ht="15" hidden="false" customHeight="true" outlineLevel="0" collapsed="false">
      <c r="A15" s="54" t="s">
        <v>100</v>
      </c>
      <c r="B15" s="43" t="n">
        <f aca="false">IFERROR(SUMIF('Expense Tracker'!C12:C500,A15,'Expense Tracker'!H12:H500),0)</f>
        <v>0</v>
      </c>
      <c r="C15" s="55" t="n">
        <f aca="false">IFERROR(B15/'Expense Tracker'!D6,0)</f>
        <v>0</v>
      </c>
      <c r="D15" s="18"/>
      <c r="E15" s="54" t="s">
        <v>101</v>
      </c>
      <c r="F15" s="43" t="n">
        <f aca="false">IFERROR(SUMIF('Expense Tracker'!E12:E500,E15,'Expense Tracker'!H12:H500),0)</f>
        <v>0</v>
      </c>
      <c r="G15" s="55" t="n">
        <f aca="false">IFERROR(F15/'Expense Tracker'!D6,0)</f>
        <v>0</v>
      </c>
      <c r="H15" s="18"/>
    </row>
    <row r="16" customFormat="false" ht="15" hidden="false" customHeight="true" outlineLevel="0" collapsed="false">
      <c r="A16" s="54" t="s">
        <v>102</v>
      </c>
      <c r="B16" s="43" t="n">
        <f aca="false">IFERROR(SUMIF('Expense Tracker'!C12:C500,A16,'Expense Tracker'!H12:H500),0)</f>
        <v>0</v>
      </c>
      <c r="C16" s="55" t="n">
        <f aca="false">IFERROR(B16/'Expense Tracker'!D6,0)</f>
        <v>0</v>
      </c>
      <c r="D16" s="18"/>
      <c r="E16" s="54" t="s">
        <v>103</v>
      </c>
      <c r="F16" s="43" t="n">
        <f aca="false">IFERROR(SUMIF('Expense Tracker'!E12:E500,E16,'Expense Tracker'!H12:H500),0)</f>
        <v>0</v>
      </c>
      <c r="G16" s="55" t="n">
        <f aca="false">IFERROR(F16/'Expense Tracker'!D6,0)</f>
        <v>0</v>
      </c>
      <c r="H16" s="18"/>
    </row>
    <row r="17" customFormat="false" ht="15" hidden="false" customHeight="true" outlineLevel="0" collapsed="false">
      <c r="A17" s="54" t="s">
        <v>82</v>
      </c>
      <c r="B17" s="43" t="n">
        <f aca="false">IFERROR(SUMIF('Expense Tracker'!C12:C500,A17,'Expense Tracker'!H12:H500),0)</f>
        <v>238500</v>
      </c>
      <c r="C17" s="55" t="n">
        <f aca="false">IFERROR(B17/'Expense Tracker'!D6,0)</f>
        <v>0.974107527584397</v>
      </c>
      <c r="D17" s="18"/>
      <c r="E17" s="54" t="s">
        <v>53</v>
      </c>
      <c r="F17" s="43" t="n">
        <f aca="false">IFERROR(SUMIF('Expense Tracker'!E12:E500,E17,'Expense Tracker'!H12:H500),0)</f>
        <v>800</v>
      </c>
      <c r="G17" s="55" t="n">
        <f aca="false">IFERROR(F17/'Expense Tracker'!D6,0)</f>
        <v>0.00326744663340678</v>
      </c>
      <c r="H17" s="18"/>
    </row>
    <row r="18" customFormat="false" ht="15" hidden="false" customHeight="true" outlineLevel="0" collapsed="false">
      <c r="A18" s="54" t="s">
        <v>53</v>
      </c>
      <c r="B18" s="43" t="n">
        <f aca="false">IFERROR(SUMIF('Expense Tracker'!C12:C500,A18,'Expense Tracker'!H12:H500),0)</f>
        <v>0</v>
      </c>
      <c r="C18" s="55" t="n">
        <f aca="false">IFERROR(B18/'Expense Tracker'!D6,0)</f>
        <v>0</v>
      </c>
      <c r="D18" s="18"/>
    </row>
    <row r="22" customFormat="false" ht="21.75" hidden="false" customHeight="true" outlineLevel="0" collapsed="false">
      <c r="A22" s="14" t="s">
        <v>104</v>
      </c>
      <c r="B22" s="14"/>
      <c r="C22" s="14"/>
      <c r="D22" s="14"/>
      <c r="E22" s="14"/>
      <c r="F22" s="14"/>
      <c r="G22" s="14"/>
      <c r="H22" s="14"/>
    </row>
    <row r="23" customFormat="false" ht="19.5" hidden="false" customHeight="true" outlineLevel="0" collapsed="false">
      <c r="A23" s="56" t="s">
        <v>105</v>
      </c>
      <c r="B23" s="57" t="s">
        <v>106</v>
      </c>
      <c r="C23" s="57"/>
      <c r="D23" s="57"/>
      <c r="E23" s="57"/>
      <c r="F23" s="57"/>
      <c r="G23" s="57"/>
      <c r="H23" s="57"/>
    </row>
    <row r="24" customFormat="false" ht="19.5" hidden="false" customHeight="true" outlineLevel="0" collapsed="false">
      <c r="A24" s="56" t="s">
        <v>107</v>
      </c>
      <c r="B24" s="57" t="s">
        <v>108</v>
      </c>
      <c r="C24" s="57"/>
      <c r="D24" s="57"/>
      <c r="E24" s="57"/>
      <c r="F24" s="57"/>
      <c r="G24" s="57"/>
      <c r="H24" s="57"/>
    </row>
    <row r="25" customFormat="false" ht="19.5" hidden="false" customHeight="true" outlineLevel="0" collapsed="false">
      <c r="A25" s="56" t="s">
        <v>109</v>
      </c>
      <c r="B25" s="57" t="s">
        <v>110</v>
      </c>
      <c r="C25" s="57"/>
      <c r="D25" s="57"/>
      <c r="E25" s="57"/>
      <c r="F25" s="57"/>
      <c r="G25" s="57"/>
      <c r="H25" s="57"/>
    </row>
    <row r="26" customFormat="false" ht="19.5" hidden="false" customHeight="true" outlineLevel="0" collapsed="false">
      <c r="A26" s="56" t="s">
        <v>111</v>
      </c>
      <c r="B26" s="57" t="s">
        <v>112</v>
      </c>
      <c r="C26" s="57"/>
      <c r="D26" s="57"/>
      <c r="E26" s="57"/>
      <c r="F26" s="57"/>
      <c r="G26" s="57"/>
      <c r="H26" s="57"/>
    </row>
    <row r="27" customFormat="false" ht="19.5" hidden="false" customHeight="true" outlineLevel="0" collapsed="false">
      <c r="A27" s="56" t="s">
        <v>113</v>
      </c>
      <c r="B27" s="57" t="s">
        <v>114</v>
      </c>
      <c r="C27" s="57"/>
      <c r="D27" s="57"/>
      <c r="E27" s="57"/>
      <c r="F27" s="57"/>
      <c r="G27" s="57"/>
      <c r="H27" s="57"/>
    </row>
  </sheetData>
  <mergeCells count="11">
    <mergeCell ref="A1:H1"/>
    <mergeCell ref="A2:H2"/>
    <mergeCell ref="A4:H4"/>
    <mergeCell ref="A9:D9"/>
    <mergeCell ref="E9:H9"/>
    <mergeCell ref="A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&amp;CAFRIQUEEUROPECONNEXIONVMETC (AEC)  |  Kraków · Douala · Abuja  |  ArmelSandjong@afriqueeuropeconnexionvmetc.com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2026-03-25T02:49:43Z</dcterms:created>
  <dc:creator>openpyxl</dc:creator>
  <dc:description/>
  <dc:language>en-US</dc:language>
  <cp:lastModifiedBy/>
  <dcterms:modified xsi:type="dcterms:W3CDTF">2026-03-25T02:50:00Z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